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unkhatti/Desktop/Interactives-Winter-26/Portfolio Story/Web Page/"/>
    </mc:Choice>
  </mc:AlternateContent>
  <xr:revisionPtr revIDLastSave="0" documentId="8_{A2D22902-0A68-EA40-85E0-68B2B579640D}" xr6:coauthVersionLast="47" xr6:coauthVersionMax="47" xr10:uidLastSave="{00000000-0000-0000-0000-000000000000}"/>
  <bookViews>
    <workbookView xWindow="320" yWindow="1560" windowWidth="34200" windowHeight="20060" xr2:uid="{BBA8BC56-6BBD-2B43-8F7C-9757D39A28DE}"/>
  </bookViews>
  <sheets>
    <sheet name="10-year Data" sheetId="2" r:id="rId1"/>
    <sheet name="10-year AWAY Data" sheetId="1" r:id="rId2"/>
    <sheet name="Flourish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2" i="2" l="1"/>
  <c r="AG53" i="2"/>
  <c r="D31" i="2"/>
  <c r="U31" i="2"/>
  <c r="V31" i="2"/>
  <c r="AA31" i="2"/>
  <c r="AB31" i="2"/>
  <c r="AC31" i="2" s="1"/>
  <c r="AD31" i="2"/>
  <c r="D252" i="2"/>
  <c r="U252" i="2"/>
  <c r="V252" i="2"/>
  <c r="AA252" i="2"/>
  <c r="AB252" i="2"/>
  <c r="AC252" i="2"/>
  <c r="AD252" i="2"/>
  <c r="D115" i="2"/>
  <c r="U115" i="2"/>
  <c r="V115" i="2"/>
  <c r="AA115" i="2"/>
  <c r="AB115" i="2"/>
  <c r="AC115" i="2"/>
  <c r="AD115" i="2"/>
  <c r="D193" i="2"/>
  <c r="U193" i="2"/>
  <c r="V193" i="2"/>
  <c r="AA193" i="2"/>
  <c r="AB193" i="2"/>
  <c r="AC193" i="2"/>
  <c r="AD193" i="2"/>
  <c r="D103" i="2"/>
  <c r="U103" i="2"/>
  <c r="V103" i="2"/>
  <c r="AA103" i="2"/>
  <c r="AB103" i="2"/>
  <c r="AC103" i="2"/>
  <c r="AD103" i="2"/>
  <c r="D291" i="2"/>
  <c r="U291" i="2"/>
  <c r="V291" i="2"/>
  <c r="AA291" i="2"/>
  <c r="AB291" i="2"/>
  <c r="AC291" i="2"/>
  <c r="AD291" i="2"/>
  <c r="D309" i="2"/>
  <c r="U309" i="2"/>
  <c r="V309" i="2"/>
  <c r="AA309" i="2"/>
  <c r="AB309" i="2"/>
  <c r="AC309" i="2" s="1"/>
  <c r="AD309" i="2"/>
  <c r="D304" i="2"/>
  <c r="U304" i="2"/>
  <c r="V304" i="2"/>
  <c r="AA304" i="2"/>
  <c r="AB304" i="2"/>
  <c r="AC304" i="2"/>
  <c r="AD304" i="2"/>
  <c r="D12" i="2"/>
  <c r="U12" i="2"/>
  <c r="V12" i="2"/>
  <c r="AA12" i="2"/>
  <c r="AB12" i="2"/>
  <c r="AD12" i="2"/>
  <c r="D5" i="2"/>
  <c r="U5" i="2"/>
  <c r="V5" i="2"/>
  <c r="AA5" i="2"/>
  <c r="AB5" i="2"/>
  <c r="AC5" i="2" s="1"/>
  <c r="AD5" i="2"/>
  <c r="D124" i="2"/>
  <c r="U124" i="2"/>
  <c r="V124" i="2"/>
  <c r="AA124" i="2"/>
  <c r="AB124" i="2"/>
  <c r="AD124" i="2"/>
  <c r="D156" i="2"/>
  <c r="U156" i="2"/>
  <c r="V156" i="2"/>
  <c r="AA156" i="2"/>
  <c r="AB156" i="2"/>
  <c r="AC156" i="2" s="1"/>
  <c r="AD156" i="2"/>
  <c r="D303" i="2"/>
  <c r="U303" i="2"/>
  <c r="V303" i="2"/>
  <c r="AA303" i="2"/>
  <c r="AB303" i="2"/>
  <c r="AC303" i="2"/>
  <c r="AD303" i="2"/>
  <c r="D58" i="2"/>
  <c r="U58" i="2"/>
  <c r="V58" i="2"/>
  <c r="AA58" i="2"/>
  <c r="AB58" i="2"/>
  <c r="AC58" i="2" s="1"/>
  <c r="AD58" i="2"/>
  <c r="D298" i="2"/>
  <c r="U298" i="2"/>
  <c r="V298" i="2"/>
  <c r="AA298" i="2"/>
  <c r="AB298" i="2"/>
  <c r="AD298" i="2"/>
  <c r="D100" i="2"/>
  <c r="U100" i="2"/>
  <c r="V100" i="2"/>
  <c r="AA100" i="2"/>
  <c r="AB100" i="2"/>
  <c r="AC100" i="2" s="1"/>
  <c r="AD100" i="2"/>
  <c r="D21" i="2"/>
  <c r="U21" i="2"/>
  <c r="V21" i="2"/>
  <c r="AA21" i="2"/>
  <c r="AB21" i="2"/>
  <c r="AC21" i="2" s="1"/>
  <c r="AD21" i="2"/>
  <c r="D288" i="2"/>
  <c r="U288" i="2"/>
  <c r="V288" i="2"/>
  <c r="AA288" i="2"/>
  <c r="AB288" i="2"/>
  <c r="AC288" i="2"/>
  <c r="AD288" i="2"/>
  <c r="D127" i="2"/>
  <c r="U127" i="2"/>
  <c r="V127" i="2"/>
  <c r="AA127" i="2"/>
  <c r="AB127" i="2"/>
  <c r="AC127" i="2"/>
  <c r="AD127" i="2"/>
  <c r="D176" i="2"/>
  <c r="U176" i="2"/>
  <c r="V176" i="2"/>
  <c r="AA176" i="2"/>
  <c r="AB176" i="2"/>
  <c r="AC176" i="2" s="1"/>
  <c r="AD176" i="2"/>
  <c r="D323" i="2"/>
  <c r="U323" i="2"/>
  <c r="V323" i="2"/>
  <c r="AA323" i="2"/>
  <c r="AB323" i="2"/>
  <c r="AC323" i="2" s="1"/>
  <c r="AD323" i="2"/>
  <c r="D300" i="2"/>
  <c r="U300" i="2"/>
  <c r="V300" i="2"/>
  <c r="AA300" i="2"/>
  <c r="AB300" i="2"/>
  <c r="AC300" i="2"/>
  <c r="AD300" i="2"/>
  <c r="D223" i="2"/>
  <c r="U223" i="2"/>
  <c r="V223" i="2"/>
  <c r="AA223" i="2"/>
  <c r="AB223" i="2"/>
  <c r="AD223" i="2"/>
  <c r="D14" i="2"/>
  <c r="U14" i="2"/>
  <c r="V14" i="2"/>
  <c r="AA14" i="2"/>
  <c r="AB14" i="2"/>
  <c r="AC14" i="2" s="1"/>
  <c r="AD14" i="2"/>
  <c r="D334" i="2"/>
  <c r="U334" i="2"/>
  <c r="V334" i="2"/>
  <c r="AA334" i="2"/>
  <c r="AB334" i="2"/>
  <c r="AC334" i="2" s="1"/>
  <c r="AD334" i="2"/>
  <c r="D354" i="2"/>
  <c r="U354" i="2"/>
  <c r="V354" i="2"/>
  <c r="AA354" i="2"/>
  <c r="AB354" i="2"/>
  <c r="AC354" i="2" s="1"/>
  <c r="AD354" i="2"/>
  <c r="D324" i="2"/>
  <c r="U324" i="2"/>
  <c r="V324" i="2"/>
  <c r="AA324" i="2"/>
  <c r="AB324" i="2"/>
  <c r="AC324" i="2" s="1"/>
  <c r="AD324" i="2"/>
  <c r="D136" i="2"/>
  <c r="U136" i="2"/>
  <c r="V136" i="2"/>
  <c r="AA136" i="2"/>
  <c r="AB136" i="2"/>
  <c r="AC136" i="2" s="1"/>
  <c r="AD136" i="2"/>
  <c r="D296" i="2"/>
  <c r="U296" i="2"/>
  <c r="V296" i="2"/>
  <c r="AA296" i="2"/>
  <c r="AB296" i="2"/>
  <c r="AC296" i="2"/>
  <c r="AD296" i="2"/>
  <c r="D153" i="2"/>
  <c r="U153" i="2"/>
  <c r="V153" i="2"/>
  <c r="AA153" i="2"/>
  <c r="AB153" i="2"/>
  <c r="AD153" i="2"/>
  <c r="D346" i="2"/>
  <c r="U346" i="2"/>
  <c r="V346" i="2"/>
  <c r="AA346" i="2"/>
  <c r="AB346" i="2"/>
  <c r="AD346" i="2"/>
  <c r="D75" i="2"/>
  <c r="U75" i="2"/>
  <c r="V75" i="2"/>
  <c r="AA75" i="2"/>
  <c r="AB75" i="2"/>
  <c r="AC75" i="2" s="1"/>
  <c r="AD75" i="2"/>
  <c r="D163" i="2"/>
  <c r="U163" i="2"/>
  <c r="V163" i="2"/>
  <c r="AA163" i="2"/>
  <c r="AB163" i="2"/>
  <c r="AD163" i="2"/>
  <c r="D64" i="2"/>
  <c r="U64" i="2"/>
  <c r="V64" i="2"/>
  <c r="AA64" i="2"/>
  <c r="AB64" i="2"/>
  <c r="AD64" i="2"/>
  <c r="D362" i="2"/>
  <c r="U362" i="2"/>
  <c r="V362" i="2"/>
  <c r="AA362" i="2"/>
  <c r="AB362" i="2"/>
  <c r="AD362" i="2"/>
  <c r="D350" i="2"/>
  <c r="U350" i="2"/>
  <c r="V350" i="2"/>
  <c r="AA350" i="2"/>
  <c r="AB350" i="2"/>
  <c r="AD350" i="2"/>
  <c r="D273" i="2"/>
  <c r="U273" i="2"/>
  <c r="V273" i="2"/>
  <c r="AA273" i="2"/>
  <c r="AB273" i="2"/>
  <c r="AD273" i="2"/>
  <c r="D344" i="2"/>
  <c r="U344" i="2"/>
  <c r="V344" i="2"/>
  <c r="AA344" i="2"/>
  <c r="AB344" i="2"/>
  <c r="AC344" i="2"/>
  <c r="AD344" i="2"/>
  <c r="D217" i="2"/>
  <c r="U217" i="2"/>
  <c r="V217" i="2"/>
  <c r="AA217" i="2"/>
  <c r="AB217" i="2"/>
  <c r="AC217" i="2"/>
  <c r="AD217" i="2"/>
  <c r="D242" i="2"/>
  <c r="U242" i="2"/>
  <c r="V242" i="2"/>
  <c r="AA242" i="2"/>
  <c r="AB242" i="2"/>
  <c r="AC242" i="2"/>
  <c r="AD242" i="2"/>
  <c r="D87" i="2"/>
  <c r="U87" i="2"/>
  <c r="V87" i="2"/>
  <c r="AA87" i="2"/>
  <c r="AB87" i="2"/>
  <c r="AC87" i="2" s="1"/>
  <c r="AD87" i="2"/>
  <c r="D120" i="2"/>
  <c r="U120" i="2"/>
  <c r="V120" i="2"/>
  <c r="AA120" i="2"/>
  <c r="AB120" i="2"/>
  <c r="AD120" i="2"/>
  <c r="D192" i="2"/>
  <c r="U192" i="2"/>
  <c r="V192" i="2"/>
  <c r="AA192" i="2"/>
  <c r="AB192" i="2"/>
  <c r="AD192" i="2"/>
  <c r="D345" i="2"/>
  <c r="U345" i="2"/>
  <c r="V345" i="2"/>
  <c r="AA345" i="2"/>
  <c r="AB345" i="2"/>
  <c r="AD345" i="2"/>
  <c r="D128" i="2"/>
  <c r="U128" i="2"/>
  <c r="V128" i="2"/>
  <c r="AA128" i="2"/>
  <c r="AB128" i="2"/>
  <c r="AC128" i="2"/>
  <c r="AD128" i="2"/>
  <c r="D61" i="2"/>
  <c r="U61" i="2"/>
  <c r="V61" i="2"/>
  <c r="AA61" i="2"/>
  <c r="AB61" i="2"/>
  <c r="AC61" i="2" s="1"/>
  <c r="AD61" i="2"/>
  <c r="D134" i="2"/>
  <c r="U134" i="2"/>
  <c r="V134" i="2"/>
  <c r="AA134" i="2"/>
  <c r="AB134" i="2"/>
  <c r="AD134" i="2"/>
  <c r="D180" i="2"/>
  <c r="U180" i="2"/>
  <c r="V180" i="2"/>
  <c r="AA180" i="2"/>
  <c r="AB180" i="2"/>
  <c r="AC180" i="2"/>
  <c r="AD180" i="2"/>
  <c r="D241" i="2"/>
  <c r="U241" i="2"/>
  <c r="V241" i="2"/>
  <c r="AA241" i="2"/>
  <c r="AB241" i="2"/>
  <c r="AD241" i="2"/>
  <c r="D235" i="2"/>
  <c r="U235" i="2"/>
  <c r="V235" i="2"/>
  <c r="AA235" i="2"/>
  <c r="AB235" i="2"/>
  <c r="AC235" i="2"/>
  <c r="AD235" i="2"/>
  <c r="D99" i="2"/>
  <c r="U99" i="2"/>
  <c r="V99" i="2"/>
  <c r="AA99" i="2"/>
  <c r="AB99" i="2"/>
  <c r="AD99" i="2"/>
  <c r="D281" i="2"/>
  <c r="U281" i="2"/>
  <c r="V281" i="2"/>
  <c r="AA281" i="2"/>
  <c r="AB281" i="2"/>
  <c r="AC281" i="2"/>
  <c r="AD281" i="2"/>
  <c r="D173" i="2"/>
  <c r="U173" i="2"/>
  <c r="V173" i="2"/>
  <c r="AA173" i="2"/>
  <c r="AB173" i="2"/>
  <c r="AD173" i="2"/>
  <c r="D139" i="2"/>
  <c r="U139" i="2"/>
  <c r="V139" i="2"/>
  <c r="AA139" i="2"/>
  <c r="AB139" i="2"/>
  <c r="AC139" i="2" s="1"/>
  <c r="AD139" i="2"/>
  <c r="D175" i="2"/>
  <c r="U175" i="2"/>
  <c r="V175" i="2"/>
  <c r="AA175" i="2"/>
  <c r="AB175" i="2"/>
  <c r="AD175" i="2"/>
  <c r="D13" i="2"/>
  <c r="U13" i="2"/>
  <c r="V13" i="2"/>
  <c r="AA13" i="2"/>
  <c r="AB13" i="2"/>
  <c r="AC13" i="2" s="1"/>
  <c r="AD13" i="2"/>
  <c r="D366" i="2"/>
  <c r="U366" i="2"/>
  <c r="V366" i="2"/>
  <c r="AA366" i="2"/>
  <c r="AB366" i="2"/>
  <c r="AD366" i="2"/>
  <c r="D92" i="2"/>
  <c r="U92" i="2"/>
  <c r="V92" i="2"/>
  <c r="AA92" i="2"/>
  <c r="AB92" i="2"/>
  <c r="AD92" i="2"/>
  <c r="D349" i="2"/>
  <c r="U349" i="2"/>
  <c r="V349" i="2"/>
  <c r="AA349" i="2"/>
  <c r="AB349" i="2"/>
  <c r="AD349" i="2"/>
  <c r="D204" i="2"/>
  <c r="U204" i="2"/>
  <c r="V204" i="2"/>
  <c r="AA204" i="2"/>
  <c r="AB204" i="2"/>
  <c r="AC204" i="2"/>
  <c r="AD204" i="2"/>
  <c r="D232" i="2"/>
  <c r="U232" i="2"/>
  <c r="V232" i="2"/>
  <c r="AA232" i="2"/>
  <c r="AB232" i="2"/>
  <c r="AC232" i="2" s="1"/>
  <c r="AD232" i="2"/>
  <c r="D36" i="2"/>
  <c r="U36" i="2"/>
  <c r="V36" i="2"/>
  <c r="AA36" i="2"/>
  <c r="AB36" i="2"/>
  <c r="AD36" i="2"/>
  <c r="D219" i="2"/>
  <c r="U219" i="2"/>
  <c r="V219" i="2"/>
  <c r="AA219" i="2"/>
  <c r="AB219" i="2"/>
  <c r="AC219" i="2"/>
  <c r="AD219" i="2"/>
  <c r="D222" i="2"/>
  <c r="U222" i="2"/>
  <c r="V222" i="2"/>
  <c r="AA222" i="2"/>
  <c r="AB222" i="2"/>
  <c r="AC222" i="2" s="1"/>
  <c r="AD222" i="2"/>
  <c r="D179" i="2"/>
  <c r="U179" i="2"/>
  <c r="V179" i="2"/>
  <c r="AA179" i="2"/>
  <c r="AB179" i="2"/>
  <c r="AC179" i="2" s="1"/>
  <c r="AD179" i="2"/>
  <c r="D182" i="2"/>
  <c r="U182" i="2"/>
  <c r="V182" i="2"/>
  <c r="AA182" i="2"/>
  <c r="AB182" i="2"/>
  <c r="AC182" i="2"/>
  <c r="AD182" i="2"/>
  <c r="D53" i="2"/>
  <c r="U53" i="2"/>
  <c r="V53" i="2"/>
  <c r="AA53" i="2"/>
  <c r="AB53" i="2"/>
  <c r="AC53" i="2"/>
  <c r="AD53" i="2"/>
  <c r="D18" i="2"/>
  <c r="U18" i="2"/>
  <c r="V18" i="2"/>
  <c r="AA18" i="2"/>
  <c r="AB18" i="2"/>
  <c r="AC18" i="2" s="1"/>
  <c r="AD18" i="2"/>
  <c r="D52" i="2"/>
  <c r="U52" i="2"/>
  <c r="V52" i="2"/>
  <c r="AA52" i="2"/>
  <c r="AB52" i="2"/>
  <c r="AD52" i="2"/>
  <c r="D224" i="2"/>
  <c r="U224" i="2"/>
  <c r="V224" i="2"/>
  <c r="AA224" i="2"/>
  <c r="AB224" i="2"/>
  <c r="AD224" i="2"/>
  <c r="D165" i="2"/>
  <c r="U165" i="2"/>
  <c r="V165" i="2"/>
  <c r="AA165" i="2"/>
  <c r="AB165" i="2"/>
  <c r="AC165" i="2" s="1"/>
  <c r="AD165" i="2"/>
  <c r="D229" i="2"/>
  <c r="U229" i="2"/>
  <c r="V229" i="2"/>
  <c r="AA229" i="2"/>
  <c r="AB229" i="2"/>
  <c r="AD229" i="2"/>
  <c r="D41" i="2"/>
  <c r="U41" i="2"/>
  <c r="V41" i="2"/>
  <c r="AA41" i="2"/>
  <c r="AB41" i="2"/>
  <c r="AC41" i="2"/>
  <c r="AD41" i="2"/>
  <c r="D27" i="2"/>
  <c r="U27" i="2"/>
  <c r="V27" i="2"/>
  <c r="AA27" i="2"/>
  <c r="AB27" i="2"/>
  <c r="AC27" i="2" s="1"/>
  <c r="AD27" i="2"/>
  <c r="D268" i="2"/>
  <c r="U268" i="2"/>
  <c r="V268" i="2"/>
  <c r="AA268" i="2"/>
  <c r="AB268" i="2"/>
  <c r="AC268" i="2"/>
  <c r="AD268" i="2"/>
  <c r="D341" i="2"/>
  <c r="U341" i="2"/>
  <c r="V341" i="2"/>
  <c r="AA341" i="2"/>
  <c r="AB341" i="2"/>
  <c r="AC341" i="2"/>
  <c r="AD341" i="2"/>
  <c r="D71" i="2"/>
  <c r="U71" i="2"/>
  <c r="V71" i="2"/>
  <c r="AA71" i="2"/>
  <c r="AB71" i="2"/>
  <c r="AD71" i="2"/>
  <c r="V3" i="2"/>
  <c r="V4" i="2"/>
  <c r="V6" i="2"/>
  <c r="V7" i="2"/>
  <c r="V8" i="2"/>
  <c r="V9" i="2"/>
  <c r="V10" i="2"/>
  <c r="V11" i="2"/>
  <c r="V15" i="2"/>
  <c r="V16" i="2"/>
  <c r="V17" i="2"/>
  <c r="V19" i="2"/>
  <c r="V20" i="2"/>
  <c r="V22" i="2"/>
  <c r="V23" i="2"/>
  <c r="V24" i="2"/>
  <c r="V25" i="2"/>
  <c r="V26" i="2"/>
  <c r="V28" i="2"/>
  <c r="V29" i="2"/>
  <c r="V30" i="2"/>
  <c r="V32" i="2"/>
  <c r="V33" i="2"/>
  <c r="V34" i="2"/>
  <c r="V35" i="2"/>
  <c r="V37" i="2"/>
  <c r="V38" i="2"/>
  <c r="V39" i="2"/>
  <c r="V40" i="2"/>
  <c r="V42" i="2"/>
  <c r="V43" i="2"/>
  <c r="V44" i="2"/>
  <c r="V45" i="2"/>
  <c r="V46" i="2"/>
  <c r="V47" i="2"/>
  <c r="V48" i="2"/>
  <c r="V49" i="2"/>
  <c r="V50" i="2"/>
  <c r="V51" i="2"/>
  <c r="V54" i="2"/>
  <c r="V55" i="2"/>
  <c r="V56" i="2"/>
  <c r="V57" i="2"/>
  <c r="V59" i="2"/>
  <c r="V60" i="2"/>
  <c r="V62" i="2"/>
  <c r="V63" i="2"/>
  <c r="V65" i="2"/>
  <c r="V66" i="2"/>
  <c r="V67" i="2"/>
  <c r="V68" i="2"/>
  <c r="V69" i="2"/>
  <c r="V70" i="2"/>
  <c r="V72" i="2"/>
  <c r="V73" i="2"/>
  <c r="V74" i="2"/>
  <c r="V76" i="2"/>
  <c r="V77" i="2"/>
  <c r="V78" i="2"/>
  <c r="V79" i="2"/>
  <c r="V80" i="2"/>
  <c r="V81" i="2"/>
  <c r="V82" i="2"/>
  <c r="V83" i="2"/>
  <c r="V84" i="2"/>
  <c r="V85" i="2"/>
  <c r="V86" i="2"/>
  <c r="V88" i="2"/>
  <c r="V89" i="2"/>
  <c r="V90" i="2"/>
  <c r="V91" i="2"/>
  <c r="V93" i="2"/>
  <c r="V94" i="2"/>
  <c r="V95" i="2"/>
  <c r="V96" i="2"/>
  <c r="V97" i="2"/>
  <c r="V98" i="2"/>
  <c r="V101" i="2"/>
  <c r="V102" i="2"/>
  <c r="V104" i="2"/>
  <c r="V105" i="2"/>
  <c r="V106" i="2"/>
  <c r="V107" i="2"/>
  <c r="V108" i="2"/>
  <c r="V109" i="2"/>
  <c r="V110" i="2"/>
  <c r="V111" i="2"/>
  <c r="V112" i="2"/>
  <c r="V113" i="2"/>
  <c r="V114" i="2"/>
  <c r="V116" i="2"/>
  <c r="V117" i="2"/>
  <c r="V118" i="2"/>
  <c r="V119" i="2"/>
  <c r="V121" i="2"/>
  <c r="V122" i="2"/>
  <c r="V123" i="2"/>
  <c r="V125" i="2"/>
  <c r="V126" i="2"/>
  <c r="V129" i="2"/>
  <c r="V130" i="2"/>
  <c r="V131" i="2"/>
  <c r="V132" i="2"/>
  <c r="V133" i="2"/>
  <c r="V135" i="2"/>
  <c r="V137" i="2"/>
  <c r="V138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4" i="2"/>
  <c r="V155" i="2"/>
  <c r="V157" i="2"/>
  <c r="V158" i="2"/>
  <c r="V159" i="2"/>
  <c r="V160" i="2"/>
  <c r="V161" i="2"/>
  <c r="V162" i="2"/>
  <c r="V164" i="2"/>
  <c r="V166" i="2"/>
  <c r="V167" i="2"/>
  <c r="V168" i="2"/>
  <c r="V169" i="2"/>
  <c r="V170" i="2"/>
  <c r="V171" i="2"/>
  <c r="V172" i="2"/>
  <c r="V174" i="2"/>
  <c r="V177" i="2"/>
  <c r="V178" i="2"/>
  <c r="V181" i="2"/>
  <c r="V183" i="2"/>
  <c r="V184" i="2"/>
  <c r="V185" i="2"/>
  <c r="V186" i="2"/>
  <c r="V187" i="2"/>
  <c r="V188" i="2"/>
  <c r="V189" i="2"/>
  <c r="V190" i="2"/>
  <c r="V191" i="2"/>
  <c r="V194" i="2"/>
  <c r="V195" i="2"/>
  <c r="V196" i="2"/>
  <c r="V197" i="2"/>
  <c r="V198" i="2"/>
  <c r="V199" i="2"/>
  <c r="V200" i="2"/>
  <c r="V201" i="2"/>
  <c r="V202" i="2"/>
  <c r="V203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8" i="2"/>
  <c r="V220" i="2"/>
  <c r="V221" i="2"/>
  <c r="V225" i="2"/>
  <c r="V226" i="2"/>
  <c r="V227" i="2"/>
  <c r="V228" i="2"/>
  <c r="V230" i="2"/>
  <c r="V231" i="2"/>
  <c r="V233" i="2"/>
  <c r="V234" i="2"/>
  <c r="V236" i="2"/>
  <c r="V237" i="2"/>
  <c r="V238" i="2"/>
  <c r="V239" i="2"/>
  <c r="V240" i="2"/>
  <c r="V243" i="2"/>
  <c r="V244" i="2"/>
  <c r="V245" i="2"/>
  <c r="V246" i="2"/>
  <c r="V247" i="2"/>
  <c r="V248" i="2"/>
  <c r="V249" i="2"/>
  <c r="V250" i="2"/>
  <c r="V251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9" i="2"/>
  <c r="V270" i="2"/>
  <c r="V271" i="2"/>
  <c r="V272" i="2"/>
  <c r="V274" i="2"/>
  <c r="V275" i="2"/>
  <c r="V276" i="2"/>
  <c r="V277" i="2"/>
  <c r="V278" i="2"/>
  <c r="V279" i="2"/>
  <c r="V280" i="2"/>
  <c r="V282" i="2"/>
  <c r="V283" i="2"/>
  <c r="V284" i="2"/>
  <c r="V285" i="2"/>
  <c r="V286" i="2"/>
  <c r="V287" i="2"/>
  <c r="V289" i="2"/>
  <c r="V290" i="2"/>
  <c r="V292" i="2"/>
  <c r="V293" i="2"/>
  <c r="V294" i="2"/>
  <c r="V295" i="2"/>
  <c r="V297" i="2"/>
  <c r="V299" i="2"/>
  <c r="V301" i="2"/>
  <c r="V302" i="2"/>
  <c r="V305" i="2"/>
  <c r="V306" i="2"/>
  <c r="V307" i="2"/>
  <c r="V308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5" i="2"/>
  <c r="V326" i="2"/>
  <c r="V327" i="2"/>
  <c r="V328" i="2"/>
  <c r="V329" i="2"/>
  <c r="V330" i="2"/>
  <c r="V331" i="2"/>
  <c r="V332" i="2"/>
  <c r="V333" i="2"/>
  <c r="V335" i="2"/>
  <c r="V336" i="2"/>
  <c r="V337" i="2"/>
  <c r="V338" i="2"/>
  <c r="V339" i="2"/>
  <c r="V340" i="2"/>
  <c r="V342" i="2"/>
  <c r="V343" i="2"/>
  <c r="V347" i="2"/>
  <c r="V348" i="2"/>
  <c r="V351" i="2"/>
  <c r="V352" i="2"/>
  <c r="V353" i="2"/>
  <c r="V355" i="2"/>
  <c r="V356" i="2"/>
  <c r="V357" i="2"/>
  <c r="V358" i="2"/>
  <c r="V359" i="2"/>
  <c r="V360" i="2"/>
  <c r="V361" i="2"/>
  <c r="V363" i="2"/>
  <c r="V364" i="2"/>
  <c r="V365" i="2"/>
  <c r="V367" i="2"/>
  <c r="V368" i="2"/>
  <c r="V2" i="2"/>
  <c r="U2" i="2"/>
  <c r="U3" i="2"/>
  <c r="U4" i="2"/>
  <c r="U6" i="2"/>
  <c r="U7" i="2"/>
  <c r="U8" i="2"/>
  <c r="U9" i="2"/>
  <c r="U10" i="2"/>
  <c r="U11" i="2"/>
  <c r="U15" i="2"/>
  <c r="U16" i="2"/>
  <c r="U17" i="2"/>
  <c r="U19" i="2"/>
  <c r="U20" i="2"/>
  <c r="U22" i="2"/>
  <c r="U23" i="2"/>
  <c r="U24" i="2"/>
  <c r="U25" i="2"/>
  <c r="U26" i="2"/>
  <c r="U28" i="2"/>
  <c r="U29" i="2"/>
  <c r="U30" i="2"/>
  <c r="U32" i="2"/>
  <c r="U33" i="2"/>
  <c r="U34" i="2"/>
  <c r="U35" i="2"/>
  <c r="U37" i="2"/>
  <c r="U38" i="2"/>
  <c r="U39" i="2"/>
  <c r="U40" i="2"/>
  <c r="U42" i="2"/>
  <c r="U43" i="2"/>
  <c r="U44" i="2"/>
  <c r="U45" i="2"/>
  <c r="U46" i="2"/>
  <c r="U47" i="2"/>
  <c r="U48" i="2"/>
  <c r="U49" i="2"/>
  <c r="U50" i="2"/>
  <c r="U51" i="2"/>
  <c r="U54" i="2"/>
  <c r="U55" i="2"/>
  <c r="U56" i="2"/>
  <c r="U57" i="2"/>
  <c r="U59" i="2"/>
  <c r="U60" i="2"/>
  <c r="U62" i="2"/>
  <c r="U63" i="2"/>
  <c r="U65" i="2"/>
  <c r="U66" i="2"/>
  <c r="U67" i="2"/>
  <c r="U68" i="2"/>
  <c r="U69" i="2"/>
  <c r="U70" i="2"/>
  <c r="U72" i="2"/>
  <c r="U73" i="2"/>
  <c r="U74" i="2"/>
  <c r="U76" i="2"/>
  <c r="U77" i="2"/>
  <c r="U78" i="2"/>
  <c r="U79" i="2"/>
  <c r="U80" i="2"/>
  <c r="U81" i="2"/>
  <c r="U82" i="2"/>
  <c r="U83" i="2"/>
  <c r="U84" i="2"/>
  <c r="U85" i="2"/>
  <c r="U86" i="2"/>
  <c r="U88" i="2"/>
  <c r="U89" i="2"/>
  <c r="U90" i="2"/>
  <c r="U91" i="2"/>
  <c r="U93" i="2"/>
  <c r="U94" i="2"/>
  <c r="U95" i="2"/>
  <c r="U96" i="2"/>
  <c r="U97" i="2"/>
  <c r="U98" i="2"/>
  <c r="U101" i="2"/>
  <c r="U102" i="2"/>
  <c r="U104" i="2"/>
  <c r="U105" i="2"/>
  <c r="U106" i="2"/>
  <c r="U107" i="2"/>
  <c r="U108" i="2"/>
  <c r="U109" i="2"/>
  <c r="U110" i="2"/>
  <c r="U111" i="2"/>
  <c r="U112" i="2"/>
  <c r="U113" i="2"/>
  <c r="U114" i="2"/>
  <c r="U116" i="2"/>
  <c r="U117" i="2"/>
  <c r="U118" i="2"/>
  <c r="U119" i="2"/>
  <c r="U121" i="2"/>
  <c r="U122" i="2"/>
  <c r="U123" i="2"/>
  <c r="U125" i="2"/>
  <c r="U126" i="2"/>
  <c r="U129" i="2"/>
  <c r="U130" i="2"/>
  <c r="U131" i="2"/>
  <c r="U132" i="2"/>
  <c r="U133" i="2"/>
  <c r="U135" i="2"/>
  <c r="U137" i="2"/>
  <c r="U138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4" i="2"/>
  <c r="U155" i="2"/>
  <c r="U157" i="2"/>
  <c r="U158" i="2"/>
  <c r="U159" i="2"/>
  <c r="U160" i="2"/>
  <c r="U161" i="2"/>
  <c r="U162" i="2"/>
  <c r="U164" i="2"/>
  <c r="U166" i="2"/>
  <c r="U167" i="2"/>
  <c r="U168" i="2"/>
  <c r="U169" i="2"/>
  <c r="U170" i="2"/>
  <c r="U171" i="2"/>
  <c r="U172" i="2"/>
  <c r="U174" i="2"/>
  <c r="U177" i="2"/>
  <c r="U178" i="2"/>
  <c r="U181" i="2"/>
  <c r="U183" i="2"/>
  <c r="U184" i="2"/>
  <c r="U185" i="2"/>
  <c r="U186" i="2"/>
  <c r="U187" i="2"/>
  <c r="U188" i="2"/>
  <c r="U189" i="2"/>
  <c r="U190" i="2"/>
  <c r="U191" i="2"/>
  <c r="U194" i="2"/>
  <c r="U195" i="2"/>
  <c r="U196" i="2"/>
  <c r="U197" i="2"/>
  <c r="U198" i="2"/>
  <c r="U199" i="2"/>
  <c r="U200" i="2"/>
  <c r="U201" i="2"/>
  <c r="U202" i="2"/>
  <c r="U203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8" i="2"/>
  <c r="U220" i="2"/>
  <c r="U221" i="2"/>
  <c r="U225" i="2"/>
  <c r="U226" i="2"/>
  <c r="U227" i="2"/>
  <c r="U228" i="2"/>
  <c r="U230" i="2"/>
  <c r="U231" i="2"/>
  <c r="U233" i="2"/>
  <c r="U234" i="2"/>
  <c r="U236" i="2"/>
  <c r="U237" i="2"/>
  <c r="U238" i="2"/>
  <c r="U239" i="2"/>
  <c r="U240" i="2"/>
  <c r="U243" i="2"/>
  <c r="U244" i="2"/>
  <c r="U245" i="2"/>
  <c r="U246" i="2"/>
  <c r="U247" i="2"/>
  <c r="U248" i="2"/>
  <c r="U249" i="2"/>
  <c r="U250" i="2"/>
  <c r="U251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9" i="2"/>
  <c r="U270" i="2"/>
  <c r="U271" i="2"/>
  <c r="U272" i="2"/>
  <c r="U274" i="2"/>
  <c r="U275" i="2"/>
  <c r="U276" i="2"/>
  <c r="U277" i="2"/>
  <c r="U278" i="2"/>
  <c r="U279" i="2"/>
  <c r="U280" i="2"/>
  <c r="U282" i="2"/>
  <c r="U283" i="2"/>
  <c r="U284" i="2"/>
  <c r="U285" i="2"/>
  <c r="U286" i="2"/>
  <c r="U287" i="2"/>
  <c r="U289" i="2"/>
  <c r="U290" i="2"/>
  <c r="U292" i="2"/>
  <c r="U293" i="2"/>
  <c r="U294" i="2"/>
  <c r="U295" i="2"/>
  <c r="U297" i="2"/>
  <c r="U299" i="2"/>
  <c r="U301" i="2"/>
  <c r="U302" i="2"/>
  <c r="U305" i="2"/>
  <c r="U306" i="2"/>
  <c r="U307" i="2"/>
  <c r="U308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5" i="2"/>
  <c r="U326" i="2"/>
  <c r="U327" i="2"/>
  <c r="U328" i="2"/>
  <c r="U329" i="2"/>
  <c r="U330" i="2"/>
  <c r="U331" i="2"/>
  <c r="U332" i="2"/>
  <c r="U333" i="2"/>
  <c r="U335" i="2"/>
  <c r="U336" i="2"/>
  <c r="U337" i="2"/>
  <c r="U338" i="2"/>
  <c r="U339" i="2"/>
  <c r="U340" i="2"/>
  <c r="U342" i="2"/>
  <c r="U343" i="2"/>
  <c r="U347" i="2"/>
  <c r="U348" i="2"/>
  <c r="U351" i="2"/>
  <c r="U352" i="2"/>
  <c r="U353" i="2"/>
  <c r="U355" i="2"/>
  <c r="U356" i="2"/>
  <c r="U357" i="2"/>
  <c r="U358" i="2"/>
  <c r="U359" i="2"/>
  <c r="U360" i="2"/>
  <c r="U361" i="2"/>
  <c r="U363" i="2"/>
  <c r="U364" i="2"/>
  <c r="U365" i="2"/>
  <c r="U367" i="2"/>
  <c r="U368" i="2"/>
  <c r="AD2" i="2"/>
  <c r="AD3" i="2"/>
  <c r="AD4" i="2"/>
  <c r="AD6" i="2"/>
  <c r="AD7" i="2"/>
  <c r="AD8" i="2"/>
  <c r="AD9" i="2"/>
  <c r="AD10" i="2"/>
  <c r="AD11" i="2"/>
  <c r="AD15" i="2"/>
  <c r="AD16" i="2"/>
  <c r="AD17" i="2"/>
  <c r="AD19" i="2"/>
  <c r="AD20" i="2"/>
  <c r="AD23" i="2"/>
  <c r="AD24" i="2"/>
  <c r="AD25" i="2"/>
  <c r="AD26" i="2"/>
  <c r="AD290" i="2"/>
  <c r="AD28" i="2"/>
  <c r="AD29" i="2"/>
  <c r="AD30" i="2"/>
  <c r="AD32" i="2"/>
  <c r="AD33" i="2"/>
  <c r="AD34" i="2"/>
  <c r="AD35" i="2"/>
  <c r="AD297" i="2"/>
  <c r="AD37" i="2"/>
  <c r="AD38" i="2"/>
  <c r="AD39" i="2"/>
  <c r="AD40" i="2"/>
  <c r="AD43" i="2"/>
  <c r="AD44" i="2"/>
  <c r="AD45" i="2"/>
  <c r="AD46" i="2"/>
  <c r="AD47" i="2"/>
  <c r="AD48" i="2"/>
  <c r="AD49" i="2"/>
  <c r="AD50" i="2"/>
  <c r="AD51" i="2"/>
  <c r="AD54" i="2"/>
  <c r="AD55" i="2"/>
  <c r="AD56" i="2"/>
  <c r="AD57" i="2"/>
  <c r="AD59" i="2"/>
  <c r="AD60" i="2"/>
  <c r="AD62" i="2"/>
  <c r="AD63" i="2"/>
  <c r="AD65" i="2"/>
  <c r="AD66" i="2"/>
  <c r="AD67" i="2"/>
  <c r="AD68" i="2"/>
  <c r="AD69" i="2"/>
  <c r="AD70" i="2"/>
  <c r="AD72" i="2"/>
  <c r="AD171" i="2"/>
  <c r="AD73" i="2"/>
  <c r="AD74" i="2"/>
  <c r="AD76" i="2"/>
  <c r="AD77" i="2"/>
  <c r="AD78" i="2"/>
  <c r="AD79" i="2"/>
  <c r="AD80" i="2"/>
  <c r="AD81" i="2"/>
  <c r="AD82" i="2"/>
  <c r="AD42" i="2"/>
  <c r="AD83" i="2"/>
  <c r="AD84" i="2"/>
  <c r="AD85" i="2"/>
  <c r="AD86" i="2"/>
  <c r="AD88" i="2"/>
  <c r="AD203" i="2"/>
  <c r="AD89" i="2"/>
  <c r="AD90" i="2"/>
  <c r="AD91" i="2"/>
  <c r="AD321" i="2"/>
  <c r="AD93" i="2"/>
  <c r="AD94" i="2"/>
  <c r="AD95" i="2"/>
  <c r="AD96" i="2"/>
  <c r="AD97" i="2"/>
  <c r="AD98" i="2"/>
  <c r="AD101" i="2"/>
  <c r="AD102" i="2"/>
  <c r="AD104" i="2"/>
  <c r="AD105" i="2"/>
  <c r="AD106" i="2"/>
  <c r="AD107" i="2"/>
  <c r="AD108" i="2"/>
  <c r="AD109" i="2"/>
  <c r="AD110" i="2"/>
  <c r="AD111" i="2"/>
  <c r="AD112" i="2"/>
  <c r="AD113" i="2"/>
  <c r="AD114" i="2"/>
  <c r="AD116" i="2"/>
  <c r="AD117" i="2"/>
  <c r="AD118" i="2"/>
  <c r="AD119" i="2"/>
  <c r="AD121" i="2"/>
  <c r="AD122" i="2"/>
  <c r="AD123" i="2"/>
  <c r="AD125" i="2"/>
  <c r="AD126" i="2"/>
  <c r="AD129" i="2"/>
  <c r="AD130" i="2"/>
  <c r="AD131" i="2"/>
  <c r="AD244" i="2"/>
  <c r="AD132" i="2"/>
  <c r="AD133" i="2"/>
  <c r="AD135" i="2"/>
  <c r="AD143" i="2"/>
  <c r="AD137" i="2"/>
  <c r="AD138" i="2"/>
  <c r="AD140" i="2"/>
  <c r="AD141" i="2"/>
  <c r="AD142" i="2"/>
  <c r="AD144" i="2"/>
  <c r="AD145" i="2"/>
  <c r="AD147" i="2"/>
  <c r="AD148" i="2"/>
  <c r="AD149" i="2"/>
  <c r="AD150" i="2"/>
  <c r="AD151" i="2"/>
  <c r="AD152" i="2"/>
  <c r="AD154" i="2"/>
  <c r="AD155" i="2"/>
  <c r="AD157" i="2"/>
  <c r="AD158" i="2"/>
  <c r="AD159" i="2"/>
  <c r="AD160" i="2"/>
  <c r="AD161" i="2"/>
  <c r="AD162" i="2"/>
  <c r="AD164" i="2"/>
  <c r="AD166" i="2"/>
  <c r="AD167" i="2"/>
  <c r="AD168" i="2"/>
  <c r="AD169" i="2"/>
  <c r="AD170" i="2"/>
  <c r="AD174" i="2"/>
  <c r="AD177" i="2"/>
  <c r="AD178" i="2"/>
  <c r="AD181" i="2"/>
  <c r="AD183" i="2"/>
  <c r="AD184" i="2"/>
  <c r="AD185" i="2"/>
  <c r="AD186" i="2"/>
  <c r="AD187" i="2"/>
  <c r="AD188" i="2"/>
  <c r="AD189" i="2"/>
  <c r="AD190" i="2"/>
  <c r="AD191" i="2"/>
  <c r="AD194" i="2"/>
  <c r="AD195" i="2"/>
  <c r="AD196" i="2"/>
  <c r="AD197" i="2"/>
  <c r="AD198" i="2"/>
  <c r="AD199" i="2"/>
  <c r="AD200" i="2"/>
  <c r="AD22" i="2"/>
  <c r="AD201" i="2"/>
  <c r="AD202" i="2"/>
  <c r="AD205" i="2"/>
  <c r="AD206" i="2"/>
  <c r="AD207" i="2"/>
  <c r="AD208" i="2"/>
  <c r="AD209" i="2"/>
  <c r="AD210" i="2"/>
  <c r="AD211" i="2"/>
  <c r="AD212" i="2"/>
  <c r="AD146" i="2"/>
  <c r="AD213" i="2"/>
  <c r="AD214" i="2"/>
  <c r="AD215" i="2"/>
  <c r="AD216" i="2"/>
  <c r="AD218" i="2"/>
  <c r="AD220" i="2"/>
  <c r="AD221" i="2"/>
  <c r="AD225" i="2"/>
  <c r="AD226" i="2"/>
  <c r="AD227" i="2"/>
  <c r="AD228" i="2"/>
  <c r="AD230" i="2"/>
  <c r="AD231" i="2"/>
  <c r="AD233" i="2"/>
  <c r="AD234" i="2"/>
  <c r="AD236" i="2"/>
  <c r="AD237" i="2"/>
  <c r="AD238" i="2"/>
  <c r="AD172" i="2"/>
  <c r="AD239" i="2"/>
  <c r="AD240" i="2"/>
  <c r="AD243" i="2"/>
  <c r="AD283" i="2"/>
  <c r="AD245" i="2"/>
  <c r="AD246" i="2"/>
  <c r="AD247" i="2"/>
  <c r="AD248" i="2"/>
  <c r="AD249" i="2"/>
  <c r="AD250" i="2"/>
  <c r="AD251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9" i="2"/>
  <c r="AD270" i="2"/>
  <c r="AD271" i="2"/>
  <c r="AD272" i="2"/>
  <c r="AD274" i="2"/>
  <c r="AD275" i="2"/>
  <c r="AD276" i="2"/>
  <c r="AD277" i="2"/>
  <c r="AD278" i="2"/>
  <c r="AD279" i="2"/>
  <c r="AD280" i="2"/>
  <c r="AD282" i="2"/>
  <c r="AD284" i="2"/>
  <c r="AD285" i="2"/>
  <c r="AD286" i="2"/>
  <c r="AD287" i="2"/>
  <c r="AD336" i="2"/>
  <c r="AD289" i="2"/>
  <c r="AD292" i="2"/>
  <c r="AD293" i="2"/>
  <c r="AD295" i="2"/>
  <c r="AD299" i="2"/>
  <c r="AD301" i="2"/>
  <c r="AD302" i="2"/>
  <c r="AD306" i="2"/>
  <c r="AD307" i="2"/>
  <c r="AD308" i="2"/>
  <c r="AD310" i="2"/>
  <c r="AD311" i="2"/>
  <c r="AD312" i="2"/>
  <c r="AD313" i="2"/>
  <c r="AD314" i="2"/>
  <c r="AD305" i="2"/>
  <c r="AD315" i="2"/>
  <c r="AD316" i="2"/>
  <c r="AD317" i="2"/>
  <c r="AD318" i="2"/>
  <c r="AD319" i="2"/>
  <c r="AD320" i="2"/>
  <c r="AD322" i="2"/>
  <c r="AD325" i="2"/>
  <c r="AD294" i="2"/>
  <c r="AD326" i="2"/>
  <c r="AD327" i="2"/>
  <c r="AD328" i="2"/>
  <c r="AD329" i="2"/>
  <c r="AD330" i="2"/>
  <c r="AD331" i="2"/>
  <c r="AD332" i="2"/>
  <c r="AD333" i="2"/>
  <c r="AD335" i="2"/>
  <c r="AD337" i="2"/>
  <c r="AD338" i="2"/>
  <c r="AD339" i="2"/>
  <c r="AD340" i="2"/>
  <c r="AD342" i="2"/>
  <c r="AD343" i="2"/>
  <c r="AD347" i="2"/>
  <c r="AD348" i="2"/>
  <c r="AD351" i="2"/>
  <c r="AD352" i="2"/>
  <c r="AD355" i="2"/>
  <c r="AD356" i="2"/>
  <c r="AD357" i="2"/>
  <c r="AD358" i="2"/>
  <c r="AD359" i="2"/>
  <c r="AD360" i="2"/>
  <c r="AD361" i="2"/>
  <c r="AD363" i="2"/>
  <c r="AD364" i="2"/>
  <c r="AD365" i="2"/>
  <c r="AD367" i="2"/>
  <c r="AD353" i="2"/>
  <c r="AD368" i="2"/>
  <c r="AE367" i="2"/>
  <c r="AE368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D2" i="2"/>
  <c r="D289" i="2"/>
  <c r="D171" i="2"/>
  <c r="D297" i="2"/>
  <c r="D266" i="2"/>
  <c r="D9" i="2"/>
  <c r="D280" i="2"/>
  <c r="D166" i="2"/>
  <c r="D202" i="2"/>
  <c r="D200" i="2"/>
  <c r="D146" i="2"/>
  <c r="D209" i="2"/>
  <c r="D16" i="2"/>
  <c r="D143" i="2"/>
  <c r="D188" i="2"/>
  <c r="D24" i="2"/>
  <c r="D116" i="2"/>
  <c r="D168" i="2"/>
  <c r="D203" i="2"/>
  <c r="D135" i="2"/>
  <c r="D274" i="2"/>
  <c r="D290" i="2"/>
  <c r="D69" i="2"/>
  <c r="D307" i="2"/>
  <c r="D259" i="2"/>
  <c r="D347" i="2"/>
  <c r="D45" i="2"/>
  <c r="D198" i="2"/>
  <c r="D181" i="2"/>
  <c r="D228" i="2"/>
  <c r="D51" i="2"/>
  <c r="D327" i="2"/>
  <c r="D19" i="2"/>
  <c r="D276" i="2"/>
  <c r="D48" i="2"/>
  <c r="D105" i="2"/>
  <c r="D238" i="2"/>
  <c r="D352" i="2"/>
  <c r="D339" i="2"/>
  <c r="D275" i="2"/>
  <c r="D155" i="2"/>
  <c r="D310" i="2"/>
  <c r="D80" i="2"/>
  <c r="D311" i="2"/>
  <c r="D187" i="2"/>
  <c r="D142" i="2"/>
  <c r="D11" i="2"/>
  <c r="D117" i="2"/>
  <c r="D38" i="2"/>
  <c r="D137" i="2"/>
  <c r="D205" i="2"/>
  <c r="D130" i="2"/>
  <c r="D243" i="2"/>
  <c r="D145" i="2"/>
  <c r="D88" i="2"/>
  <c r="D6" i="2"/>
  <c r="D131" i="2"/>
  <c r="D244" i="2"/>
  <c r="D42" i="2"/>
  <c r="D285" i="2"/>
  <c r="D335" i="2"/>
  <c r="D333" i="2"/>
  <c r="D355" i="2"/>
  <c r="D101" i="2"/>
  <c r="D123" i="2"/>
  <c r="D279" i="2"/>
  <c r="D336" i="2"/>
  <c r="D96" i="2"/>
  <c r="D302" i="2"/>
  <c r="D239" i="2"/>
  <c r="D108" i="2"/>
  <c r="D306" i="2"/>
  <c r="D227" i="2"/>
  <c r="D84" i="2"/>
  <c r="D22" i="2"/>
  <c r="D82" i="2"/>
  <c r="D284" i="2"/>
  <c r="D237" i="2"/>
  <c r="D363" i="2"/>
  <c r="D293" i="2"/>
  <c r="D356" i="2"/>
  <c r="D267" i="2"/>
  <c r="D294" i="2"/>
  <c r="D7" i="2"/>
  <c r="D30" i="2"/>
  <c r="D185" i="2"/>
  <c r="D154" i="2"/>
  <c r="D337" i="2"/>
  <c r="D81" i="2"/>
  <c r="D47" i="2"/>
  <c r="D112" i="2"/>
  <c r="D196" i="2"/>
  <c r="D316" i="2"/>
  <c r="D305" i="2"/>
  <c r="D106" i="2"/>
  <c r="D197" i="2"/>
  <c r="D208" i="2"/>
  <c r="D367" i="2"/>
  <c r="D55" i="2"/>
  <c r="D207" i="2"/>
  <c r="D260" i="2"/>
  <c r="D292" i="2"/>
  <c r="D360" i="2"/>
  <c r="D331" i="2"/>
  <c r="D218" i="2"/>
  <c r="D368" i="2"/>
  <c r="D89" i="2"/>
  <c r="D221" i="2"/>
  <c r="D301" i="2"/>
  <c r="D73" i="2"/>
  <c r="D63" i="2"/>
  <c r="D255" i="2"/>
  <c r="D65" i="2"/>
  <c r="D272" i="2"/>
  <c r="D195" i="2"/>
  <c r="D174" i="2"/>
  <c r="D314" i="2"/>
  <c r="D190" i="2"/>
  <c r="D119" i="2"/>
  <c r="D319" i="2"/>
  <c r="D95" i="2"/>
  <c r="D338" i="2"/>
  <c r="D332" i="2"/>
  <c r="D151" i="2"/>
  <c r="D102" i="2"/>
  <c r="D283" i="2"/>
  <c r="D26" i="2"/>
  <c r="D15" i="2"/>
  <c r="D33" i="2"/>
  <c r="D160" i="2"/>
  <c r="D317" i="2"/>
  <c r="D230" i="2"/>
  <c r="D271" i="2"/>
  <c r="D62" i="2"/>
  <c r="D210" i="2"/>
  <c r="D60" i="2"/>
  <c r="D4" i="2"/>
  <c r="D177" i="2"/>
  <c r="D72" i="2"/>
  <c r="D86" i="2"/>
  <c r="D147" i="2"/>
  <c r="D54" i="2"/>
  <c r="D129" i="2"/>
  <c r="D158" i="2"/>
  <c r="D257" i="2"/>
  <c r="D234" i="2"/>
  <c r="D329" i="2"/>
  <c r="D138" i="2"/>
  <c r="D351" i="2"/>
  <c r="D320" i="2"/>
  <c r="D186" i="2"/>
  <c r="D125" i="2"/>
  <c r="D358" i="2"/>
  <c r="D264" i="2"/>
  <c r="D150" i="2"/>
  <c r="D79" i="2"/>
  <c r="D321" i="2"/>
  <c r="D107" i="2"/>
  <c r="D325" i="2"/>
  <c r="D91" i="2"/>
  <c r="D170" i="2"/>
  <c r="D253" i="2"/>
  <c r="D308" i="2"/>
  <c r="D164" i="2"/>
  <c r="D77" i="2"/>
  <c r="D246" i="2"/>
  <c r="D70" i="2"/>
  <c r="D214" i="2"/>
  <c r="D328" i="2"/>
  <c r="D216" i="2"/>
  <c r="D361" i="2"/>
  <c r="D152" i="2"/>
  <c r="D278" i="2"/>
  <c r="D226" i="2"/>
  <c r="D148" i="2"/>
  <c r="D262" i="2"/>
  <c r="D78" i="2"/>
  <c r="D212" i="2"/>
  <c r="D90" i="2"/>
  <c r="D340" i="2"/>
  <c r="D364" i="2"/>
  <c r="D43" i="2"/>
  <c r="D348" i="2"/>
  <c r="D149" i="2"/>
  <c r="D357" i="2"/>
  <c r="D25" i="2"/>
  <c r="D59" i="2"/>
  <c r="D270" i="2"/>
  <c r="D194" i="2"/>
  <c r="D215" i="2"/>
  <c r="D98" i="2"/>
  <c r="D343" i="2"/>
  <c r="D20" i="2"/>
  <c r="D50" i="2"/>
  <c r="D3" i="2"/>
  <c r="D365" i="2"/>
  <c r="D74" i="2"/>
  <c r="D121" i="2"/>
  <c r="D49" i="2"/>
  <c r="D132" i="2"/>
  <c r="D248" i="2"/>
  <c r="D39" i="2"/>
  <c r="D169" i="2"/>
  <c r="D330" i="2"/>
  <c r="D236" i="2"/>
  <c r="D66" i="2"/>
  <c r="D225" i="2"/>
  <c r="D56" i="2"/>
  <c r="D189" i="2"/>
  <c r="D167" i="2"/>
  <c r="D183" i="2"/>
  <c r="D140" i="2"/>
  <c r="D282" i="2"/>
  <c r="D295" i="2"/>
  <c r="D315" i="2"/>
  <c r="D133" i="2"/>
  <c r="D83" i="2"/>
  <c r="D342" i="2"/>
  <c r="D322" i="2"/>
  <c r="D353" i="2"/>
  <c r="D286" i="2"/>
  <c r="D213" i="2"/>
  <c r="D201" i="2"/>
  <c r="D312" i="2"/>
  <c r="D37" i="2"/>
  <c r="D287" i="2"/>
  <c r="D93" i="2"/>
  <c r="D94" i="2"/>
  <c r="D231" i="2"/>
  <c r="D233" i="2"/>
  <c r="D326" i="2"/>
  <c r="D122" i="2"/>
  <c r="D251" i="2"/>
  <c r="D254" i="2"/>
  <c r="D178" i="2"/>
  <c r="D184" i="2"/>
  <c r="D104" i="2"/>
  <c r="D159" i="2"/>
  <c r="D97" i="2"/>
  <c r="D263" i="2"/>
  <c r="D240" i="2"/>
  <c r="D17" i="2"/>
  <c r="D23" i="2"/>
  <c r="D29" i="2"/>
  <c r="D46" i="2"/>
  <c r="D35" i="2"/>
  <c r="D32" i="2"/>
  <c r="D144" i="2"/>
  <c r="D34" i="2"/>
  <c r="D359" i="2"/>
  <c r="D118" i="2"/>
  <c r="D76" i="2"/>
  <c r="D172" i="2"/>
  <c r="D157" i="2"/>
  <c r="D318" i="2"/>
  <c r="D67" i="2"/>
  <c r="D68" i="2"/>
  <c r="D277" i="2"/>
  <c r="D220" i="2"/>
  <c r="D247" i="2"/>
  <c r="D256" i="2"/>
  <c r="D265" i="2"/>
  <c r="D113" i="2"/>
  <c r="D249" i="2"/>
  <c r="D10" i="2"/>
  <c r="D258" i="2"/>
  <c r="D40" i="2"/>
  <c r="D110" i="2"/>
  <c r="D250" i="2"/>
  <c r="D199" i="2"/>
  <c r="D313" i="2"/>
  <c r="D111" i="2"/>
  <c r="D261" i="2"/>
  <c r="D161" i="2"/>
  <c r="D211" i="2"/>
  <c r="D44" i="2"/>
  <c r="D85" i="2"/>
  <c r="D57" i="2"/>
  <c r="D269" i="2"/>
  <c r="D8" i="2"/>
  <c r="D126" i="2"/>
  <c r="D245" i="2"/>
  <c r="D114" i="2"/>
  <c r="D141" i="2"/>
  <c r="D299" i="2"/>
  <c r="D109" i="2"/>
  <c r="D28" i="2"/>
  <c r="D191" i="2"/>
  <c r="D162" i="2"/>
  <c r="D206" i="2"/>
  <c r="AB2" i="2"/>
  <c r="AB3" i="2"/>
  <c r="AB4" i="2"/>
  <c r="AB6" i="2"/>
  <c r="AB7" i="2"/>
  <c r="AB8" i="2"/>
  <c r="AB9" i="2"/>
  <c r="AB10" i="2"/>
  <c r="AB11" i="2"/>
  <c r="AB15" i="2"/>
  <c r="AB16" i="2"/>
  <c r="AB17" i="2"/>
  <c r="AB19" i="2"/>
  <c r="AB20" i="2"/>
  <c r="AB22" i="2"/>
  <c r="AB23" i="2"/>
  <c r="AB24" i="2"/>
  <c r="AB25" i="2"/>
  <c r="AB26" i="2"/>
  <c r="AB28" i="2"/>
  <c r="AB29" i="2"/>
  <c r="AB30" i="2"/>
  <c r="AB32" i="2"/>
  <c r="AB33" i="2"/>
  <c r="AB34" i="2"/>
  <c r="AB35" i="2"/>
  <c r="AB37" i="2"/>
  <c r="AB38" i="2"/>
  <c r="AB39" i="2"/>
  <c r="AB40" i="2"/>
  <c r="AB42" i="2"/>
  <c r="AB43" i="2"/>
  <c r="AB44" i="2"/>
  <c r="AB45" i="2"/>
  <c r="AB46" i="2"/>
  <c r="AB47" i="2"/>
  <c r="AB48" i="2"/>
  <c r="AB49" i="2"/>
  <c r="AB50" i="2"/>
  <c r="AB51" i="2"/>
  <c r="AB54" i="2"/>
  <c r="AB55" i="2"/>
  <c r="AB56" i="2"/>
  <c r="AB57" i="2"/>
  <c r="AB59" i="2"/>
  <c r="AB60" i="2"/>
  <c r="AB62" i="2"/>
  <c r="AB63" i="2"/>
  <c r="AB65" i="2"/>
  <c r="AB66" i="2"/>
  <c r="AB67" i="2"/>
  <c r="AB68" i="2"/>
  <c r="AB69" i="2"/>
  <c r="AB70" i="2"/>
  <c r="AB72" i="2"/>
  <c r="AB73" i="2"/>
  <c r="AB74" i="2"/>
  <c r="AB76" i="2"/>
  <c r="AB77" i="2"/>
  <c r="AB78" i="2"/>
  <c r="AB79" i="2"/>
  <c r="AB80" i="2"/>
  <c r="AB81" i="2"/>
  <c r="AB82" i="2"/>
  <c r="AB83" i="2"/>
  <c r="AB84" i="2"/>
  <c r="AB85" i="2"/>
  <c r="AB86" i="2"/>
  <c r="AB88" i="2"/>
  <c r="AB89" i="2"/>
  <c r="AB90" i="2"/>
  <c r="AB91" i="2"/>
  <c r="AB93" i="2"/>
  <c r="AB94" i="2"/>
  <c r="AB95" i="2"/>
  <c r="AB96" i="2"/>
  <c r="AB97" i="2"/>
  <c r="AB98" i="2"/>
  <c r="AB101" i="2"/>
  <c r="AB102" i="2"/>
  <c r="AB104" i="2"/>
  <c r="AB105" i="2"/>
  <c r="AB106" i="2"/>
  <c r="AB107" i="2"/>
  <c r="AB108" i="2"/>
  <c r="AB109" i="2"/>
  <c r="AB110" i="2"/>
  <c r="AB111" i="2"/>
  <c r="AB112" i="2"/>
  <c r="AB113" i="2"/>
  <c r="AB114" i="2"/>
  <c r="AB116" i="2"/>
  <c r="AB117" i="2"/>
  <c r="AB118" i="2"/>
  <c r="AB119" i="2"/>
  <c r="AB121" i="2"/>
  <c r="AB122" i="2"/>
  <c r="AB123" i="2"/>
  <c r="AB125" i="2"/>
  <c r="AB126" i="2"/>
  <c r="AB129" i="2"/>
  <c r="AB130" i="2"/>
  <c r="AB131" i="2"/>
  <c r="AB132" i="2"/>
  <c r="AB133" i="2"/>
  <c r="AB135" i="2"/>
  <c r="AB137" i="2"/>
  <c r="AB138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4" i="2"/>
  <c r="AB155" i="2"/>
  <c r="AB157" i="2"/>
  <c r="AB158" i="2"/>
  <c r="AB159" i="2"/>
  <c r="AB160" i="2"/>
  <c r="AB161" i="2"/>
  <c r="AB162" i="2"/>
  <c r="AB164" i="2"/>
  <c r="AB166" i="2"/>
  <c r="AB167" i="2"/>
  <c r="AB168" i="2"/>
  <c r="AB169" i="2"/>
  <c r="AB170" i="2"/>
  <c r="AB171" i="2"/>
  <c r="AB172" i="2"/>
  <c r="AB174" i="2"/>
  <c r="AB177" i="2"/>
  <c r="AB178" i="2"/>
  <c r="AB181" i="2"/>
  <c r="AB183" i="2"/>
  <c r="AB184" i="2"/>
  <c r="AB185" i="2"/>
  <c r="AB186" i="2"/>
  <c r="AB187" i="2"/>
  <c r="AB188" i="2"/>
  <c r="AB189" i="2"/>
  <c r="AB190" i="2"/>
  <c r="AB191" i="2"/>
  <c r="AB194" i="2"/>
  <c r="AB195" i="2"/>
  <c r="AB196" i="2"/>
  <c r="AB197" i="2"/>
  <c r="AB198" i="2"/>
  <c r="AB199" i="2"/>
  <c r="AB200" i="2"/>
  <c r="AB201" i="2"/>
  <c r="AB202" i="2"/>
  <c r="AB203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8" i="2"/>
  <c r="AB220" i="2"/>
  <c r="AB221" i="2"/>
  <c r="AB225" i="2"/>
  <c r="AB226" i="2"/>
  <c r="AB227" i="2"/>
  <c r="AB228" i="2"/>
  <c r="AB230" i="2"/>
  <c r="AB231" i="2"/>
  <c r="AB233" i="2"/>
  <c r="AB234" i="2"/>
  <c r="AB236" i="2"/>
  <c r="AB237" i="2"/>
  <c r="AB238" i="2"/>
  <c r="AB239" i="2"/>
  <c r="AB240" i="2"/>
  <c r="AB243" i="2"/>
  <c r="AB244" i="2"/>
  <c r="AB245" i="2"/>
  <c r="AB246" i="2"/>
  <c r="AB247" i="2"/>
  <c r="AB248" i="2"/>
  <c r="AB249" i="2"/>
  <c r="AB250" i="2"/>
  <c r="AB251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9" i="2"/>
  <c r="AB270" i="2"/>
  <c r="AB271" i="2"/>
  <c r="AB272" i="2"/>
  <c r="AB274" i="2"/>
  <c r="AB275" i="2"/>
  <c r="AB276" i="2"/>
  <c r="AB277" i="2"/>
  <c r="AB278" i="2"/>
  <c r="AB279" i="2"/>
  <c r="AB280" i="2"/>
  <c r="AB282" i="2"/>
  <c r="AB283" i="2"/>
  <c r="AB284" i="2"/>
  <c r="AB285" i="2"/>
  <c r="AB286" i="2"/>
  <c r="AB287" i="2"/>
  <c r="AB289" i="2"/>
  <c r="AB290" i="2"/>
  <c r="AB292" i="2"/>
  <c r="AB293" i="2"/>
  <c r="AB294" i="2"/>
  <c r="AB295" i="2"/>
  <c r="AB297" i="2"/>
  <c r="AB299" i="2"/>
  <c r="AB301" i="2"/>
  <c r="AB302" i="2"/>
  <c r="AB305" i="2"/>
  <c r="AB306" i="2"/>
  <c r="AB307" i="2"/>
  <c r="AB308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5" i="2"/>
  <c r="AB326" i="2"/>
  <c r="AB327" i="2"/>
  <c r="AB328" i="2"/>
  <c r="AB329" i="2"/>
  <c r="AB330" i="2"/>
  <c r="AB331" i="2"/>
  <c r="AB332" i="2"/>
  <c r="AB333" i="2"/>
  <c r="AB335" i="2"/>
  <c r="AB336" i="2"/>
  <c r="AB337" i="2"/>
  <c r="AB338" i="2"/>
  <c r="AB339" i="2"/>
  <c r="AB340" i="2"/>
  <c r="AB342" i="2"/>
  <c r="AB343" i="2"/>
  <c r="AB347" i="2"/>
  <c r="AB348" i="2"/>
  <c r="AB351" i="2"/>
  <c r="AB352" i="2"/>
  <c r="AB353" i="2"/>
  <c r="AB355" i="2"/>
  <c r="AB356" i="2"/>
  <c r="AB357" i="2"/>
  <c r="AB358" i="2"/>
  <c r="AB359" i="2"/>
  <c r="AB360" i="2"/>
  <c r="AB361" i="2"/>
  <c r="AB363" i="2"/>
  <c r="AB364" i="2"/>
  <c r="AB365" i="2"/>
  <c r="AB367" i="2"/>
  <c r="AB368" i="2"/>
  <c r="AA2" i="2"/>
  <c r="AA3" i="2"/>
  <c r="AA4" i="2"/>
  <c r="AA6" i="2"/>
  <c r="AA7" i="2"/>
  <c r="AA8" i="2"/>
  <c r="AA9" i="2"/>
  <c r="AA10" i="2"/>
  <c r="AA11" i="2"/>
  <c r="AA15" i="2"/>
  <c r="AA16" i="2"/>
  <c r="AA17" i="2"/>
  <c r="AA19" i="2"/>
  <c r="AA20" i="2"/>
  <c r="AA22" i="2"/>
  <c r="AA23" i="2"/>
  <c r="AA24" i="2"/>
  <c r="AA25" i="2"/>
  <c r="AA26" i="2"/>
  <c r="AA28" i="2"/>
  <c r="AA29" i="2"/>
  <c r="AA30" i="2"/>
  <c r="AA32" i="2"/>
  <c r="AA33" i="2"/>
  <c r="AA34" i="2"/>
  <c r="AA35" i="2"/>
  <c r="AA37" i="2"/>
  <c r="AA38" i="2"/>
  <c r="AA39" i="2"/>
  <c r="AA40" i="2"/>
  <c r="AA42" i="2"/>
  <c r="AA43" i="2"/>
  <c r="AA44" i="2"/>
  <c r="AA45" i="2"/>
  <c r="AA46" i="2"/>
  <c r="AA47" i="2"/>
  <c r="AA48" i="2"/>
  <c r="AA49" i="2"/>
  <c r="AA50" i="2"/>
  <c r="AA51" i="2"/>
  <c r="AA54" i="2"/>
  <c r="AA55" i="2"/>
  <c r="AA56" i="2"/>
  <c r="AA57" i="2"/>
  <c r="AA59" i="2"/>
  <c r="AA60" i="2"/>
  <c r="AA62" i="2"/>
  <c r="AA63" i="2"/>
  <c r="AA65" i="2"/>
  <c r="AA66" i="2"/>
  <c r="AA67" i="2"/>
  <c r="AA68" i="2"/>
  <c r="AA69" i="2"/>
  <c r="AA70" i="2"/>
  <c r="AA72" i="2"/>
  <c r="AA73" i="2"/>
  <c r="AA74" i="2"/>
  <c r="AA76" i="2"/>
  <c r="AA77" i="2"/>
  <c r="AA78" i="2"/>
  <c r="AA79" i="2"/>
  <c r="AA80" i="2"/>
  <c r="AA81" i="2"/>
  <c r="AA82" i="2"/>
  <c r="AA83" i="2"/>
  <c r="AA84" i="2"/>
  <c r="AA85" i="2"/>
  <c r="AA86" i="2"/>
  <c r="AA88" i="2"/>
  <c r="AA89" i="2"/>
  <c r="AA90" i="2"/>
  <c r="AA91" i="2"/>
  <c r="AA93" i="2"/>
  <c r="AA94" i="2"/>
  <c r="AA95" i="2"/>
  <c r="AA96" i="2"/>
  <c r="AA97" i="2"/>
  <c r="AA98" i="2"/>
  <c r="AA101" i="2"/>
  <c r="AA102" i="2"/>
  <c r="AA104" i="2"/>
  <c r="AA105" i="2"/>
  <c r="AA106" i="2"/>
  <c r="AA107" i="2"/>
  <c r="AA108" i="2"/>
  <c r="AA109" i="2"/>
  <c r="AA110" i="2"/>
  <c r="AA111" i="2"/>
  <c r="AA112" i="2"/>
  <c r="AA113" i="2"/>
  <c r="AA114" i="2"/>
  <c r="AA116" i="2"/>
  <c r="AA117" i="2"/>
  <c r="AA118" i="2"/>
  <c r="AA119" i="2"/>
  <c r="AA121" i="2"/>
  <c r="AA122" i="2"/>
  <c r="AA123" i="2"/>
  <c r="AA125" i="2"/>
  <c r="AA126" i="2"/>
  <c r="AA129" i="2"/>
  <c r="AA130" i="2"/>
  <c r="AA131" i="2"/>
  <c r="AA132" i="2"/>
  <c r="AA133" i="2"/>
  <c r="AA135" i="2"/>
  <c r="AA137" i="2"/>
  <c r="AA138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4" i="2"/>
  <c r="AA155" i="2"/>
  <c r="AA157" i="2"/>
  <c r="AA158" i="2"/>
  <c r="AA159" i="2"/>
  <c r="AA160" i="2"/>
  <c r="AA161" i="2"/>
  <c r="AA162" i="2"/>
  <c r="AA164" i="2"/>
  <c r="AA166" i="2"/>
  <c r="AA167" i="2"/>
  <c r="AA168" i="2"/>
  <c r="AA169" i="2"/>
  <c r="AA170" i="2"/>
  <c r="AA171" i="2"/>
  <c r="AA172" i="2"/>
  <c r="AA174" i="2"/>
  <c r="AA177" i="2"/>
  <c r="AA178" i="2"/>
  <c r="AA181" i="2"/>
  <c r="AA183" i="2"/>
  <c r="AA184" i="2"/>
  <c r="AA185" i="2"/>
  <c r="AA186" i="2"/>
  <c r="AA187" i="2"/>
  <c r="AA188" i="2"/>
  <c r="AA189" i="2"/>
  <c r="AA190" i="2"/>
  <c r="AA191" i="2"/>
  <c r="AA194" i="2"/>
  <c r="AA195" i="2"/>
  <c r="AA196" i="2"/>
  <c r="AA197" i="2"/>
  <c r="AA198" i="2"/>
  <c r="AA199" i="2"/>
  <c r="AA200" i="2"/>
  <c r="AA201" i="2"/>
  <c r="AA202" i="2"/>
  <c r="AA203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8" i="2"/>
  <c r="AA220" i="2"/>
  <c r="AA221" i="2"/>
  <c r="AA225" i="2"/>
  <c r="AA226" i="2"/>
  <c r="AA227" i="2"/>
  <c r="AA228" i="2"/>
  <c r="AA230" i="2"/>
  <c r="AA231" i="2"/>
  <c r="AA233" i="2"/>
  <c r="AA234" i="2"/>
  <c r="AA236" i="2"/>
  <c r="AA237" i="2"/>
  <c r="AA238" i="2"/>
  <c r="AA239" i="2"/>
  <c r="AA240" i="2"/>
  <c r="AA243" i="2"/>
  <c r="AA244" i="2"/>
  <c r="AA245" i="2"/>
  <c r="AA246" i="2"/>
  <c r="AA247" i="2"/>
  <c r="AA248" i="2"/>
  <c r="AA249" i="2"/>
  <c r="AA250" i="2"/>
  <c r="AA251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9" i="2"/>
  <c r="AA270" i="2"/>
  <c r="AA271" i="2"/>
  <c r="AA272" i="2"/>
  <c r="AA274" i="2"/>
  <c r="AA275" i="2"/>
  <c r="AA276" i="2"/>
  <c r="AA277" i="2"/>
  <c r="AA278" i="2"/>
  <c r="AA279" i="2"/>
  <c r="AA280" i="2"/>
  <c r="AA282" i="2"/>
  <c r="AA283" i="2"/>
  <c r="AA284" i="2"/>
  <c r="AA285" i="2"/>
  <c r="AA286" i="2"/>
  <c r="AA287" i="2"/>
  <c r="AA289" i="2"/>
  <c r="AA290" i="2"/>
  <c r="AA292" i="2"/>
  <c r="AA293" i="2"/>
  <c r="AA294" i="2"/>
  <c r="AA295" i="2"/>
  <c r="AA297" i="2"/>
  <c r="AA299" i="2"/>
  <c r="AA301" i="2"/>
  <c r="AA302" i="2"/>
  <c r="AA305" i="2"/>
  <c r="AA306" i="2"/>
  <c r="AA307" i="2"/>
  <c r="AA308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5" i="2"/>
  <c r="AA326" i="2"/>
  <c r="AA327" i="2"/>
  <c r="AA328" i="2"/>
  <c r="AA329" i="2"/>
  <c r="AA330" i="2"/>
  <c r="AA331" i="2"/>
  <c r="AA332" i="2"/>
  <c r="AA333" i="2"/>
  <c r="AA335" i="2"/>
  <c r="AA336" i="2"/>
  <c r="AA337" i="2"/>
  <c r="AA338" i="2"/>
  <c r="AA339" i="2"/>
  <c r="AA340" i="2"/>
  <c r="AA342" i="2"/>
  <c r="AA343" i="2"/>
  <c r="AA347" i="2"/>
  <c r="AA348" i="2"/>
  <c r="AA351" i="2"/>
  <c r="AA352" i="2"/>
  <c r="AA353" i="2"/>
  <c r="AA355" i="2"/>
  <c r="AA356" i="2"/>
  <c r="AA357" i="2"/>
  <c r="AA358" i="2"/>
  <c r="AA359" i="2"/>
  <c r="AA360" i="2"/>
  <c r="AA361" i="2"/>
  <c r="AA363" i="2"/>
  <c r="AA364" i="2"/>
  <c r="AA365" i="2"/>
  <c r="AA367" i="2"/>
  <c r="AA368" i="2"/>
  <c r="O104" i="1"/>
  <c r="O289" i="1"/>
  <c r="O115" i="1"/>
  <c r="O75" i="1"/>
  <c r="O343" i="1"/>
  <c r="O23" i="1"/>
  <c r="O12" i="1"/>
  <c r="O95" i="1"/>
  <c r="O344" i="1"/>
  <c r="O67" i="1"/>
  <c r="O262" i="1"/>
  <c r="O319" i="1"/>
  <c r="O204" i="1"/>
  <c r="O240" i="1"/>
  <c r="O367" i="1"/>
  <c r="O145" i="1"/>
  <c r="O342" i="1"/>
  <c r="O57" i="1"/>
  <c r="O312" i="1"/>
  <c r="O113" i="1"/>
  <c r="O359" i="1"/>
  <c r="O134" i="1"/>
  <c r="O242" i="1"/>
  <c r="O139" i="1"/>
  <c r="O345" i="1"/>
  <c r="O26" i="1"/>
  <c r="O328" i="1"/>
  <c r="O31" i="1"/>
  <c r="O313" i="1"/>
  <c r="O361" i="1"/>
  <c r="O190" i="1"/>
  <c r="O176" i="1"/>
  <c r="O4" i="1"/>
  <c r="O194" i="1"/>
  <c r="O197" i="1"/>
  <c r="O300" i="1"/>
  <c r="O87" i="1"/>
  <c r="O364" i="1"/>
  <c r="O52" i="1"/>
  <c r="O61" i="1"/>
  <c r="O263" i="1"/>
  <c r="O317" i="1"/>
  <c r="O106" i="1"/>
  <c r="O126" i="1"/>
  <c r="O169" i="1"/>
  <c r="O66" i="1"/>
  <c r="O324" i="1"/>
  <c r="O56" i="1"/>
  <c r="O78" i="1"/>
  <c r="O21" i="1"/>
  <c r="O322" i="1"/>
  <c r="O158" i="1"/>
  <c r="O292" i="1"/>
  <c r="O64" i="1"/>
  <c r="O271" i="1"/>
  <c r="O154" i="1"/>
  <c r="O163" i="1"/>
  <c r="O335" i="1"/>
  <c r="O229" i="1"/>
  <c r="O5" i="1"/>
  <c r="O18" i="1"/>
  <c r="O321" i="1"/>
  <c r="O286" i="1"/>
  <c r="O309" i="1"/>
  <c r="O120" i="1"/>
  <c r="O276" i="1"/>
  <c r="O362" i="1"/>
  <c r="O50" i="1"/>
  <c r="O165" i="1"/>
  <c r="O191" i="1"/>
  <c r="O366" i="1"/>
  <c r="O111" i="1"/>
  <c r="O304" i="1"/>
  <c r="O147" i="1"/>
  <c r="O175" i="1"/>
  <c r="O281" i="1"/>
  <c r="O53" i="1"/>
  <c r="O247" i="1"/>
  <c r="O171" i="1"/>
  <c r="O138" i="1"/>
  <c r="O35" i="1"/>
  <c r="O290" i="1"/>
  <c r="O132" i="1"/>
  <c r="O353" i="1"/>
  <c r="O241" i="1"/>
  <c r="O216" i="1"/>
  <c r="O133" i="1"/>
  <c r="O110" i="1"/>
  <c r="O363" i="1"/>
  <c r="O73" i="1"/>
  <c r="O59" i="1"/>
  <c r="O215" i="1"/>
  <c r="O172" i="1"/>
  <c r="O249" i="1"/>
  <c r="O213" i="1"/>
  <c r="O268" i="1"/>
  <c r="O210" i="1"/>
  <c r="O156" i="1"/>
  <c r="O244" i="1"/>
  <c r="O28" i="1"/>
  <c r="O329" i="1"/>
  <c r="O265" i="1"/>
  <c r="O220" i="1"/>
  <c r="O303" i="1"/>
  <c r="O42" i="1"/>
  <c r="O352" i="1"/>
  <c r="O185" i="1"/>
  <c r="O90" i="1"/>
  <c r="O152" i="1"/>
  <c r="O308" i="1"/>
  <c r="O357" i="1"/>
  <c r="O283" i="1"/>
  <c r="O8" i="1"/>
  <c r="O14" i="1"/>
  <c r="O330" i="1"/>
  <c r="O143" i="1"/>
  <c r="O127" i="1"/>
  <c r="O337" i="1"/>
  <c r="O173" i="1"/>
  <c r="O222" i="1"/>
  <c r="O299" i="1"/>
  <c r="O20" i="1"/>
  <c r="O225" i="1"/>
  <c r="O219" i="1"/>
  <c r="O221" i="1"/>
  <c r="O346" i="1"/>
  <c r="O318" i="1"/>
  <c r="O97" i="1"/>
  <c r="O183" i="1"/>
  <c r="O180" i="1"/>
  <c r="O208" i="1"/>
  <c r="O348" i="1"/>
  <c r="O243" i="1"/>
  <c r="O58" i="1"/>
  <c r="O76" i="1"/>
  <c r="O211" i="1"/>
  <c r="O196" i="1"/>
  <c r="O288" i="1"/>
  <c r="O296" i="1"/>
  <c r="O43" i="1"/>
  <c r="O92" i="1"/>
  <c r="O94" i="1"/>
  <c r="O34" i="1"/>
  <c r="O233" i="1"/>
  <c r="O354" i="1"/>
  <c r="O282" i="1"/>
  <c r="O259" i="1"/>
  <c r="O102" i="1"/>
  <c r="O332" i="1"/>
  <c r="O89" i="1"/>
  <c r="O82" i="1"/>
  <c r="O326" i="1"/>
  <c r="O124" i="1"/>
  <c r="O323" i="1"/>
  <c r="O170" i="1"/>
  <c r="O217" i="1"/>
  <c r="O245" i="1"/>
  <c r="O177" i="1"/>
  <c r="O125" i="1"/>
  <c r="O136" i="1"/>
  <c r="O325" i="1"/>
  <c r="O164" i="1"/>
  <c r="O36" i="1"/>
  <c r="O246" i="1"/>
  <c r="O256" i="1"/>
  <c r="O192" i="1"/>
  <c r="O232" i="1"/>
  <c r="O224" i="1"/>
  <c r="O258" i="1"/>
  <c r="O226" i="1"/>
  <c r="O32" i="1"/>
  <c r="O13" i="1"/>
  <c r="O257" i="1"/>
  <c r="O273" i="1"/>
  <c r="O295" i="1"/>
  <c r="O305" i="1"/>
  <c r="O153" i="1"/>
  <c r="O202" i="1"/>
  <c r="O267" i="1"/>
  <c r="O237" i="1"/>
  <c r="O22" i="1"/>
  <c r="O29" i="1"/>
  <c r="O250" i="1"/>
  <c r="O128" i="1"/>
  <c r="O306" i="1"/>
  <c r="O223" i="1"/>
  <c r="O297" i="1"/>
  <c r="O2" i="1"/>
  <c r="O334" i="1"/>
  <c r="O178" i="1"/>
  <c r="O294" i="1"/>
  <c r="O144" i="1"/>
  <c r="O112" i="1"/>
  <c r="O235" i="1"/>
  <c r="O30" i="1"/>
  <c r="O146" i="1"/>
  <c r="O96" i="1"/>
  <c r="O186" i="1"/>
  <c r="O340" i="1"/>
  <c r="O349" i="1"/>
  <c r="O17" i="1"/>
  <c r="O55" i="1"/>
  <c r="O327" i="1"/>
  <c r="O121" i="1"/>
  <c r="O269" i="1"/>
  <c r="O85" i="1"/>
  <c r="O11" i="1"/>
  <c r="O272" i="1"/>
  <c r="O314" i="1"/>
  <c r="O260" i="1"/>
  <c r="O109" i="1"/>
  <c r="O159" i="1"/>
  <c r="O74" i="1"/>
  <c r="O291" i="1"/>
  <c r="O167" i="1"/>
  <c r="O341" i="1"/>
  <c r="O162" i="1"/>
  <c r="O275" i="1"/>
  <c r="O103" i="1"/>
  <c r="O101" i="1"/>
  <c r="O148" i="1"/>
  <c r="O350" i="1"/>
  <c r="O99" i="1"/>
  <c r="O315" i="1"/>
  <c r="O98" i="1"/>
  <c r="O351" i="1"/>
  <c r="O336" i="1"/>
  <c r="O68" i="1"/>
  <c r="O184" i="1"/>
  <c r="O254" i="1"/>
  <c r="O63" i="1"/>
  <c r="O298" i="1"/>
  <c r="O187" i="1"/>
  <c r="O338" i="1"/>
  <c r="O203" i="1"/>
  <c r="O277" i="1"/>
  <c r="O15" i="1"/>
  <c r="O182" i="1"/>
  <c r="O39" i="1"/>
  <c r="O368" i="1"/>
  <c r="O93" i="1"/>
  <c r="O301" i="1"/>
  <c r="O44" i="1"/>
  <c r="O287" i="1"/>
  <c r="O365" i="1"/>
  <c r="O320" i="1"/>
  <c r="O38" i="1"/>
  <c r="O251" i="1"/>
  <c r="O174" i="1"/>
  <c r="O248" i="1"/>
  <c r="O179" i="1"/>
  <c r="O122" i="1"/>
  <c r="O230" i="1"/>
  <c r="O80" i="1"/>
  <c r="O49" i="1"/>
  <c r="O100" i="1"/>
  <c r="O316" i="1"/>
  <c r="O83" i="1"/>
  <c r="O206" i="1"/>
  <c r="O151" i="1"/>
  <c r="O91" i="1"/>
  <c r="O199" i="1"/>
  <c r="O189" i="1"/>
  <c r="O149" i="1"/>
  <c r="O10" i="1"/>
  <c r="O47" i="1"/>
  <c r="O40" i="1"/>
  <c r="O195" i="1"/>
  <c r="O193" i="1"/>
  <c r="O261" i="1"/>
  <c r="O60" i="1"/>
  <c r="O131" i="1"/>
  <c r="O118" i="1"/>
  <c r="O33" i="1"/>
  <c r="O142" i="1"/>
  <c r="O141" i="1"/>
  <c r="O228" i="1"/>
  <c r="O65" i="1"/>
  <c r="O360" i="1"/>
  <c r="O252" i="1"/>
  <c r="O27" i="1"/>
  <c r="O150" i="1"/>
  <c r="O168" i="1"/>
  <c r="O285" i="1"/>
  <c r="O140" i="1"/>
  <c r="O54" i="1"/>
  <c r="O255" i="1"/>
  <c r="O161" i="1"/>
  <c r="O253" i="1"/>
  <c r="O77" i="1"/>
  <c r="O200" i="1"/>
  <c r="O266" i="1"/>
  <c r="O135" i="1"/>
  <c r="O201" i="1"/>
  <c r="O157" i="1"/>
  <c r="O108" i="1"/>
  <c r="O214" i="1"/>
  <c r="O86" i="1"/>
  <c r="O207" i="1"/>
  <c r="O71" i="1"/>
  <c r="O19" i="1"/>
  <c r="O307" i="1"/>
  <c r="O41" i="1"/>
  <c r="O231" i="1"/>
  <c r="O279" i="1"/>
  <c r="O119" i="1"/>
  <c r="O356" i="1"/>
  <c r="O333" i="1"/>
  <c r="O105" i="1"/>
  <c r="O81" i="1"/>
  <c r="O236" i="1"/>
  <c r="O70" i="1"/>
  <c r="O284" i="1"/>
  <c r="O234" i="1"/>
  <c r="O278" i="1"/>
  <c r="O79" i="1"/>
  <c r="O25" i="1"/>
  <c r="O107" i="1"/>
  <c r="O114" i="1"/>
  <c r="O280" i="1"/>
  <c r="O358" i="1"/>
  <c r="O270" i="1"/>
  <c r="O3" i="1"/>
  <c r="O188" i="1"/>
  <c r="O155" i="1"/>
  <c r="O293" i="1"/>
  <c r="O339" i="1"/>
  <c r="O117" i="1"/>
  <c r="O46" i="1"/>
  <c r="O239" i="1"/>
  <c r="O84" i="1"/>
  <c r="O24" i="1"/>
  <c r="O209" i="1"/>
  <c r="O130" i="1"/>
  <c r="O355" i="1"/>
  <c r="O310" i="1"/>
  <c r="O48" i="1"/>
  <c r="O137" i="1"/>
  <c r="O227" i="1"/>
  <c r="O302" i="1"/>
  <c r="O37" i="1"/>
  <c r="O198" i="1"/>
  <c r="O72" i="1"/>
  <c r="O331" i="1"/>
  <c r="O212" i="1"/>
  <c r="O238" i="1"/>
  <c r="O123" i="1"/>
  <c r="O264" i="1"/>
  <c r="O311" i="1"/>
  <c r="O160" i="1"/>
  <c r="O218" i="1"/>
  <c r="O129" i="1"/>
  <c r="O205" i="1"/>
  <c r="O347" i="1"/>
  <c r="O7" i="1"/>
  <c r="O116" i="1"/>
  <c r="O9" i="1"/>
  <c r="O274" i="1"/>
  <c r="O88" i="1"/>
  <c r="O6" i="1"/>
  <c r="O45" i="1"/>
  <c r="O166" i="1"/>
  <c r="O69" i="1"/>
  <c r="O62" i="1"/>
  <c r="O16" i="1"/>
  <c r="O51" i="1"/>
  <c r="O181" i="1"/>
  <c r="AC346" i="2" l="1"/>
  <c r="AC224" i="2"/>
  <c r="AC192" i="2"/>
  <c r="AC71" i="2"/>
  <c r="AC12" i="2"/>
  <c r="AC298" i="2"/>
  <c r="AC134" i="2"/>
  <c r="AC36" i="2"/>
  <c r="AC124" i="2"/>
  <c r="AC64" i="2"/>
  <c r="AC153" i="2"/>
  <c r="AC241" i="2"/>
  <c r="AC273" i="2"/>
  <c r="AC99" i="2"/>
  <c r="AC223" i="2"/>
  <c r="AC175" i="2"/>
  <c r="AC173" i="2"/>
  <c r="AC229" i="2"/>
  <c r="AC349" i="2"/>
  <c r="AC366" i="2"/>
  <c r="AC163" i="2"/>
  <c r="AC350" i="2"/>
  <c r="AC362" i="2"/>
  <c r="AC345" i="2"/>
  <c r="AC92" i="2"/>
  <c r="AC120" i="2"/>
  <c r="AC52" i="2"/>
  <c r="AC177" i="2"/>
  <c r="AC178" i="2"/>
  <c r="AC181" i="2"/>
  <c r="AC183" i="2"/>
  <c r="AC184" i="2"/>
  <c r="AC185" i="2"/>
  <c r="AC186" i="2"/>
  <c r="AC187" i="2"/>
  <c r="AC188" i="2"/>
  <c r="AC189" i="2"/>
  <c r="AC190" i="2"/>
  <c r="AC191" i="2"/>
  <c r="AC194" i="2"/>
  <c r="AC195" i="2"/>
  <c r="AC196" i="2"/>
  <c r="AC197" i="2"/>
  <c r="AC198" i="2"/>
  <c r="AC199" i="2"/>
  <c r="AC200" i="2"/>
  <c r="AC201" i="2"/>
  <c r="AC202" i="2"/>
  <c r="AC203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8" i="2"/>
  <c r="AC220" i="2"/>
  <c r="AC221" i="2"/>
  <c r="AC317" i="2"/>
  <c r="AC319" i="2"/>
  <c r="AC321" i="2"/>
  <c r="AC332" i="2"/>
  <c r="AC336" i="2"/>
  <c r="AC338" i="2"/>
  <c r="AC340" i="2"/>
  <c r="AC342" i="2"/>
  <c r="AC348" i="2"/>
  <c r="AC225" i="2"/>
  <c r="AC226" i="2"/>
  <c r="AC227" i="2"/>
  <c r="AC228" i="2"/>
  <c r="AC230" i="2"/>
  <c r="AC231" i="2"/>
  <c r="AC233" i="2"/>
  <c r="AC234" i="2"/>
  <c r="AC236" i="2"/>
  <c r="AC237" i="2"/>
  <c r="AC238" i="2"/>
  <c r="AC239" i="2"/>
  <c r="AC240" i="2"/>
  <c r="AC243" i="2"/>
  <c r="AC244" i="2"/>
  <c r="AC245" i="2"/>
  <c r="AC246" i="2"/>
  <c r="AC247" i="2"/>
  <c r="AC248" i="2"/>
  <c r="AC249" i="2"/>
  <c r="AC250" i="2"/>
  <c r="AC251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9" i="2"/>
  <c r="AC270" i="2"/>
  <c r="AC271" i="2"/>
  <c r="AC272" i="2"/>
  <c r="AC274" i="2"/>
  <c r="AC275" i="2"/>
  <c r="AC276" i="2"/>
  <c r="AC277" i="2"/>
  <c r="AC278" i="2"/>
  <c r="AC279" i="2"/>
  <c r="AC280" i="2"/>
  <c r="AC282" i="2"/>
  <c r="AC283" i="2"/>
  <c r="AC284" i="2"/>
  <c r="AC285" i="2"/>
  <c r="AC286" i="2"/>
  <c r="AC287" i="2"/>
  <c r="AC289" i="2"/>
  <c r="AC290" i="2"/>
  <c r="AC292" i="2"/>
  <c r="AC293" i="2"/>
  <c r="AC294" i="2"/>
  <c r="AC295" i="2"/>
  <c r="AC297" i="2"/>
  <c r="AC299" i="2"/>
  <c r="AC301" i="2"/>
  <c r="AC302" i="2"/>
  <c r="AC305" i="2"/>
  <c r="AC306" i="2"/>
  <c r="AC307" i="2"/>
  <c r="AC308" i="2"/>
  <c r="AC310" i="2"/>
  <c r="AC311" i="2"/>
  <c r="AC312" i="2"/>
  <c r="AC313" i="2"/>
  <c r="AC314" i="2"/>
  <c r="AC315" i="2"/>
  <c r="AC316" i="2"/>
  <c r="AC318" i="2"/>
  <c r="AC320" i="2"/>
  <c r="AC322" i="2"/>
  <c r="AC325" i="2"/>
  <c r="AC326" i="2"/>
  <c r="AC327" i="2"/>
  <c r="AC328" i="2"/>
  <c r="AC329" i="2"/>
  <c r="AC330" i="2"/>
  <c r="AC331" i="2"/>
  <c r="AC333" i="2"/>
  <c r="AC335" i="2"/>
  <c r="AC337" i="2"/>
  <c r="AC339" i="2"/>
  <c r="AC343" i="2"/>
  <c r="AC347" i="2"/>
  <c r="AC351" i="2"/>
  <c r="AC352" i="2"/>
  <c r="AC353" i="2"/>
  <c r="AC355" i="2"/>
  <c r="AC356" i="2"/>
  <c r="AC357" i="2"/>
  <c r="AC358" i="2"/>
  <c r="AC359" i="2"/>
  <c r="AC360" i="2"/>
  <c r="AC361" i="2"/>
  <c r="AC363" i="2"/>
  <c r="AC364" i="2"/>
  <c r="AC365" i="2"/>
  <c r="AC367" i="2"/>
  <c r="AC368" i="2"/>
  <c r="AC2" i="2"/>
  <c r="AC3" i="2"/>
  <c r="AC4" i="2"/>
  <c r="AC6" i="2"/>
  <c r="AC7" i="2"/>
  <c r="AC8" i="2"/>
  <c r="AC9" i="2"/>
  <c r="AC10" i="2"/>
  <c r="AC11" i="2"/>
  <c r="AC15" i="2"/>
  <c r="AC16" i="2"/>
  <c r="AC17" i="2"/>
  <c r="AC19" i="2"/>
  <c r="AC20" i="2"/>
  <c r="AC22" i="2"/>
  <c r="AC23" i="2"/>
  <c r="AC24" i="2"/>
  <c r="AC25" i="2"/>
  <c r="AC26" i="2"/>
  <c r="AC28" i="2"/>
  <c r="AC29" i="2"/>
  <c r="AC30" i="2"/>
  <c r="AC32" i="2"/>
  <c r="AC33" i="2"/>
  <c r="AC34" i="2"/>
  <c r="AC35" i="2"/>
  <c r="AC37" i="2"/>
  <c r="AC38" i="2"/>
  <c r="AC39" i="2"/>
  <c r="AC40" i="2"/>
  <c r="AC42" i="2"/>
  <c r="AC81" i="2"/>
  <c r="AC82" i="2"/>
  <c r="AC83" i="2"/>
  <c r="AC84" i="2"/>
  <c r="AC85" i="2"/>
  <c r="AC86" i="2"/>
  <c r="AC88" i="2"/>
  <c r="AC89" i="2"/>
  <c r="AC90" i="2"/>
  <c r="AC91" i="2"/>
  <c r="AC93" i="2"/>
  <c r="AC94" i="2"/>
  <c r="AC95" i="2"/>
  <c r="AC96" i="2"/>
  <c r="AC97" i="2"/>
  <c r="AC98" i="2"/>
  <c r="AC101" i="2"/>
  <c r="AC102" i="2"/>
  <c r="AC104" i="2"/>
  <c r="AC105" i="2"/>
  <c r="AC106" i="2"/>
  <c r="AC107" i="2"/>
  <c r="AC108" i="2"/>
  <c r="AC109" i="2"/>
  <c r="AC110" i="2"/>
  <c r="AC111" i="2"/>
  <c r="AC113" i="2"/>
  <c r="AC114" i="2"/>
  <c r="AC116" i="2"/>
  <c r="AC117" i="2"/>
  <c r="AC118" i="2"/>
  <c r="AC119" i="2"/>
  <c r="AC121" i="2"/>
  <c r="AC122" i="2"/>
  <c r="AC123" i="2"/>
  <c r="AC125" i="2"/>
  <c r="AC126" i="2"/>
  <c r="AC129" i="2"/>
  <c r="AC130" i="2"/>
  <c r="AC131" i="2"/>
  <c r="AC132" i="2"/>
  <c r="AC133" i="2"/>
  <c r="AC135" i="2"/>
  <c r="AC137" i="2"/>
  <c r="AC138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4" i="2"/>
  <c r="AC155" i="2"/>
  <c r="AC157" i="2"/>
  <c r="AC158" i="2"/>
  <c r="AC159" i="2"/>
  <c r="AC160" i="2"/>
  <c r="AC161" i="2"/>
  <c r="AC162" i="2"/>
  <c r="AC164" i="2"/>
  <c r="AC166" i="2"/>
  <c r="AC167" i="2"/>
  <c r="AC168" i="2"/>
  <c r="AC169" i="2"/>
  <c r="AC170" i="2"/>
  <c r="AC171" i="2"/>
  <c r="AC172" i="2"/>
  <c r="AC174" i="2"/>
  <c r="AC112" i="2"/>
  <c r="AC43" i="2"/>
  <c r="AC44" i="2"/>
  <c r="AC45" i="2"/>
  <c r="AC46" i="2"/>
  <c r="AC47" i="2"/>
  <c r="AC48" i="2"/>
  <c r="AC49" i="2"/>
  <c r="AC50" i="2"/>
  <c r="AC51" i="2"/>
  <c r="AC54" i="2"/>
  <c r="AC55" i="2"/>
  <c r="AC56" i="2"/>
  <c r="AC57" i="2"/>
  <c r="AC59" i="2"/>
  <c r="AC60" i="2"/>
  <c r="AC62" i="2"/>
  <c r="AC63" i="2"/>
  <c r="AC65" i="2"/>
  <c r="AC66" i="2"/>
  <c r="AC67" i="2"/>
  <c r="AC68" i="2"/>
  <c r="AC69" i="2"/>
  <c r="AC70" i="2"/>
  <c r="AC72" i="2"/>
  <c r="AC73" i="2"/>
  <c r="AC74" i="2"/>
  <c r="AC76" i="2"/>
  <c r="AC77" i="2"/>
  <c r="AC78" i="2"/>
  <c r="AC79" i="2"/>
  <c r="AC8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tc={2F801DB1-46E4-614B-87C8-03A6494E9ED6}</author>
    <author>tc={17F40619-1467-974B-B7D8-7A3774A6BD5C}</author>
  </authors>
  <commentList>
    <comment ref="AL2" authorId="0" shapeId="0" xr:uid="{2F801DB1-46E4-614B-87C8-03A6494E9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Gonzaga
Santa Clara
Saint Mary's (CA)
Pepperdine
Loyola Marymount
San Diego
Portland
Pacific
Seattle
Oregon State
Washington State
San Francisco
</t>
      </text>
    </comment>
    <comment ref="AM2" authorId="1" shapeId="0" xr:uid="{17F40619-1467-974B-B7D8-7A3774A6BD5C}">
      <text>
        <t>[Threaded comment]
Your version of Excel allows you to read this threaded comment; however, any edits to it will get removed if the file is opened in a newer version of Excel. Learn more: https://go.microsoft.com/fwlink/?linkid=870924
Comment:
    San Diego St.
Utah State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tc={BF0B871D-EA9D-E040-834A-908D3FA9FD9E}</author>
    <author>tc={7D6DA680-98C0-7443-B7A6-7D4F1DB56477}</author>
  </authors>
  <commentList>
    <comment ref="AC2" authorId="0" shapeId="0" xr:uid="{BF0B871D-EA9D-E040-834A-908D3FA9FD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Gonzaga
Santa Clara
Saint Mary's (CA)
Pepperdine
Loyola Marymount
San Diego
Portland
Pacific
Seattle
Oregon State
Washington State
San Francisco
</t>
      </text>
    </comment>
    <comment ref="AD2" authorId="1" shapeId="0" xr:uid="{7D6DA680-98C0-7443-B7A6-7D4F1DB56477}">
      <text>
        <t>[Threaded comment]
Your version of Excel allows you to read this threaded comment; however, any edits to it will get removed if the file is opened in a newer version of Excel. Learn more: https://go.microsoft.com/fwlink/?linkid=870924
Comment:
    San Diego St.
Utah State</t>
      </text>
    </comment>
  </commentList>
</comments>
</file>

<file path=xl/sharedStrings.xml><?xml version="1.0" encoding="utf-8"?>
<sst xmlns="http://schemas.openxmlformats.org/spreadsheetml/2006/main" count="2598" uniqueCount="423">
  <si>
    <t>Rk</t>
  </si>
  <si>
    <t>Team</t>
  </si>
  <si>
    <t>From</t>
  </si>
  <si>
    <t>To</t>
  </si>
  <si>
    <t>ORtg</t>
  </si>
  <si>
    <t>DRtg</t>
  </si>
  <si>
    <t>TS%</t>
  </si>
  <si>
    <t>G</t>
  </si>
  <si>
    <t>W/L%</t>
  </si>
  <si>
    <t>Gonzaga</t>
  </si>
  <si>
    <t>2015-16</t>
  </si>
  <si>
    <t>2024-25</t>
  </si>
  <si>
    <t>St. Mary's (CA)</t>
  </si>
  <si>
    <t>Houston</t>
  </si>
  <si>
    <t>Duke</t>
  </si>
  <si>
    <t>Vermont</t>
  </si>
  <si>
    <t>Belmont</t>
  </si>
  <si>
    <t>Arizona</t>
  </si>
  <si>
    <t>Furman</t>
  </si>
  <si>
    <t>Villanova</t>
  </si>
  <si>
    <t>Dayton</t>
  </si>
  <si>
    <t>San Diego State</t>
  </si>
  <si>
    <t>UC Irvine</t>
  </si>
  <si>
    <t>North Carolina</t>
  </si>
  <si>
    <t>Princeton</t>
  </si>
  <si>
    <t>Yale</t>
  </si>
  <si>
    <t>Liberty</t>
  </si>
  <si>
    <t>VCU</t>
  </si>
  <si>
    <t>College of Charleston</t>
  </si>
  <si>
    <t>Toledo</t>
  </si>
  <si>
    <t>Hofstra</t>
  </si>
  <si>
    <t>Wichita State</t>
  </si>
  <si>
    <t>Kansas</t>
  </si>
  <si>
    <t>Purdue</t>
  </si>
  <si>
    <t>Kentucky</t>
  </si>
  <si>
    <t>Virginia</t>
  </si>
  <si>
    <t>Boise State</t>
  </si>
  <si>
    <t>UNC Greensboro</t>
  </si>
  <si>
    <t>Brigham Young</t>
  </si>
  <si>
    <t>Towson</t>
  </si>
  <si>
    <t>Winthrop</t>
  </si>
  <si>
    <t>Murray State</t>
  </si>
  <si>
    <t>Michigan State</t>
  </si>
  <si>
    <t>Akron</t>
  </si>
  <si>
    <t>Nevada</t>
  </si>
  <si>
    <t>New Mexico State</t>
  </si>
  <si>
    <t>Tennessee</t>
  </si>
  <si>
    <t>Florida</t>
  </si>
  <si>
    <t>Wright State</t>
  </si>
  <si>
    <t>Cincinnati</t>
  </si>
  <si>
    <t>Connecticut</t>
  </si>
  <si>
    <t>San Francisco</t>
  </si>
  <si>
    <t>UAB</t>
  </si>
  <si>
    <t>Grand Canyon</t>
  </si>
  <si>
    <t>Iona</t>
  </si>
  <si>
    <t>Memphis</t>
  </si>
  <si>
    <t>Davidson</t>
  </si>
  <si>
    <t>UCLA</t>
  </si>
  <si>
    <t>Colgate</t>
  </si>
  <si>
    <t>East Tennessee State</t>
  </si>
  <si>
    <t>Baylor</t>
  </si>
  <si>
    <t>UC Santa Barbara</t>
  </si>
  <si>
    <t>Loyola Chicago</t>
  </si>
  <si>
    <t>Stephen F. Austin</t>
  </si>
  <si>
    <t>Creighton</t>
  </si>
  <si>
    <t>SMU</t>
  </si>
  <si>
    <t>Louisiana Tech</t>
  </si>
  <si>
    <t>Marquette</t>
  </si>
  <si>
    <t>Utah State</t>
  </si>
  <si>
    <t>Oregon</t>
  </si>
  <si>
    <t>Alabama</t>
  </si>
  <si>
    <t>Auburn</t>
  </si>
  <si>
    <t>UC San Diego</t>
  </si>
  <si>
    <t>2020-21</t>
  </si>
  <si>
    <t>St. Bonaventure</t>
  </si>
  <si>
    <t>Texas Tech</t>
  </si>
  <si>
    <t>Illinois</t>
  </si>
  <si>
    <t>South Dakota State</t>
  </si>
  <si>
    <t>Wisconsin</t>
  </si>
  <si>
    <t>Chattanooga</t>
  </si>
  <si>
    <t>Maryland</t>
  </si>
  <si>
    <t>Navy</t>
  </si>
  <si>
    <t>Xavier</t>
  </si>
  <si>
    <t>Hawaii</t>
  </si>
  <si>
    <t>Texas A&amp;M</t>
  </si>
  <si>
    <t>Lipscomb</t>
  </si>
  <si>
    <t>Michigan</t>
  </si>
  <si>
    <t>Southern California</t>
  </si>
  <si>
    <t>Clemson</t>
  </si>
  <si>
    <t>Rhode Island</t>
  </si>
  <si>
    <t>Mercyhurst</t>
  </si>
  <si>
    <t>Kent State</t>
  </si>
  <si>
    <t>Buffalo</t>
  </si>
  <si>
    <t>St. Thomas</t>
  </si>
  <si>
    <t>2021-22</t>
  </si>
  <si>
    <t>Jacksonville State</t>
  </si>
  <si>
    <t>West Georgia</t>
  </si>
  <si>
    <t>Providence</t>
  </si>
  <si>
    <t>Northern Kentucky</t>
  </si>
  <si>
    <t>James Madison</t>
  </si>
  <si>
    <t>Harvard</t>
  </si>
  <si>
    <t>Wofford</t>
  </si>
  <si>
    <t>Drake</t>
  </si>
  <si>
    <t>Colorado State</t>
  </si>
  <si>
    <t>Northern Iowa</t>
  </si>
  <si>
    <t>Merrimack</t>
  </si>
  <si>
    <t>2019-20</t>
  </si>
  <si>
    <t>Richmond</t>
  </si>
  <si>
    <t>Northern Colorado</t>
  </si>
  <si>
    <t>Seton Hall</t>
  </si>
  <si>
    <t>North Texas</t>
  </si>
  <si>
    <t>Louisville</t>
  </si>
  <si>
    <t>Queens (NC)</t>
  </si>
  <si>
    <t>2022-23</t>
  </si>
  <si>
    <t>Boston University</t>
  </si>
  <si>
    <t>UNC Wilmington</t>
  </si>
  <si>
    <t>Santa Clara</t>
  </si>
  <si>
    <t>Oakland</t>
  </si>
  <si>
    <t>Texas</t>
  </si>
  <si>
    <t>California Baptist</t>
  </si>
  <si>
    <t>2018-19</t>
  </si>
  <si>
    <t>Weber State</t>
  </si>
  <si>
    <t>Montana</t>
  </si>
  <si>
    <t>Florida Gulf Coast</t>
  </si>
  <si>
    <t>Louisiana</t>
  </si>
  <si>
    <t>Texas State</t>
  </si>
  <si>
    <t>Western Kentucky</t>
  </si>
  <si>
    <t>Southern Indiana</t>
  </si>
  <si>
    <t>Albany (NY)</t>
  </si>
  <si>
    <t>Arkansas</t>
  </si>
  <si>
    <t>UNLV</t>
  </si>
  <si>
    <t>Le Moyne</t>
  </si>
  <si>
    <t>2023-24</t>
  </si>
  <si>
    <t>Iowa</t>
  </si>
  <si>
    <t>Utah Valley</t>
  </si>
  <si>
    <t>Miami (FL)</t>
  </si>
  <si>
    <t>Ohio State</t>
  </si>
  <si>
    <t>Temple</t>
  </si>
  <si>
    <t>Ball State</t>
  </si>
  <si>
    <t>Old Dominion</t>
  </si>
  <si>
    <t>Notre Dame</t>
  </si>
  <si>
    <t>Ohio</t>
  </si>
  <si>
    <t>Virginia Tech</t>
  </si>
  <si>
    <t>UC Davis</t>
  </si>
  <si>
    <t>George Mason</t>
  </si>
  <si>
    <t>Missouri State</t>
  </si>
  <si>
    <t>Mississippi State</t>
  </si>
  <si>
    <t>North Dakota State</t>
  </si>
  <si>
    <t>Wagner</t>
  </si>
  <si>
    <t>Purdue Fort Wayne</t>
  </si>
  <si>
    <t>Colorado</t>
  </si>
  <si>
    <t>Duquesne</t>
  </si>
  <si>
    <t>Northeastern</t>
  </si>
  <si>
    <t>New Mexico</t>
  </si>
  <si>
    <t>St. John's (NY)</t>
  </si>
  <si>
    <t>Syracuse</t>
  </si>
  <si>
    <t>Campbell</t>
  </si>
  <si>
    <t>Florida State</t>
  </si>
  <si>
    <t>Fresno State</t>
  </si>
  <si>
    <t>Bucknell</t>
  </si>
  <si>
    <t>Pennsylvania</t>
  </si>
  <si>
    <t>West Virginia</t>
  </si>
  <si>
    <t>Southern Illinois</t>
  </si>
  <si>
    <t>Sam Houston State</t>
  </si>
  <si>
    <t>Georgia State</t>
  </si>
  <si>
    <t>UT Arlington</t>
  </si>
  <si>
    <t>Florida Atlantic</t>
  </si>
  <si>
    <t>Eastern Washington</t>
  </si>
  <si>
    <t>UMBC</t>
  </si>
  <si>
    <t>Indiana</t>
  </si>
  <si>
    <t>UCF</t>
  </si>
  <si>
    <t>Mercer</t>
  </si>
  <si>
    <t>Northwestern</t>
  </si>
  <si>
    <t>Quinnipiac</t>
  </si>
  <si>
    <t>Middle Tennessee</t>
  </si>
  <si>
    <t>Indiana State</t>
  </si>
  <si>
    <t>Kansas State</t>
  </si>
  <si>
    <t>UMass Lowell</t>
  </si>
  <si>
    <t>Marshall</t>
  </si>
  <si>
    <t>Butler</t>
  </si>
  <si>
    <t>Radford</t>
  </si>
  <si>
    <t>Saint Joseph's</t>
  </si>
  <si>
    <t>NC State</t>
  </si>
  <si>
    <t>Penn State</t>
  </si>
  <si>
    <t>Oklahoma State</t>
  </si>
  <si>
    <t>Saint Peter's</t>
  </si>
  <si>
    <t>Ole Miss</t>
  </si>
  <si>
    <t>Brown</t>
  </si>
  <si>
    <t>Arizona State</t>
  </si>
  <si>
    <t>Saint Louis</t>
  </si>
  <si>
    <t>South Carolina</t>
  </si>
  <si>
    <t>Stony Brook</t>
  </si>
  <si>
    <t>Texas A&amp;M–Commerce</t>
  </si>
  <si>
    <t>Louisiana State</t>
  </si>
  <si>
    <t>Norfolk State</t>
  </si>
  <si>
    <t>Seattle</t>
  </si>
  <si>
    <t>Portland State</t>
  </si>
  <si>
    <t>Bellarmine</t>
  </si>
  <si>
    <t>Bowling Green</t>
  </si>
  <si>
    <t>Rider</t>
  </si>
  <si>
    <t>Iowa State</t>
  </si>
  <si>
    <t>Texas A&amp;M–Corpus Christi</t>
  </si>
  <si>
    <t>Oklahoma</t>
  </si>
  <si>
    <t>Tarleton State</t>
  </si>
  <si>
    <t>Abilene Christian</t>
  </si>
  <si>
    <t>Utah</t>
  </si>
  <si>
    <t>Milwaukee</t>
  </si>
  <si>
    <t>Stonehill</t>
  </si>
  <si>
    <t>Lehigh</t>
  </si>
  <si>
    <t>High Point</t>
  </si>
  <si>
    <t>Pittsburgh</t>
  </si>
  <si>
    <t>Bradley</t>
  </si>
  <si>
    <t>Lindenwood</t>
  </si>
  <si>
    <t>Gardner-Webb</t>
  </si>
  <si>
    <t>Montana State</t>
  </si>
  <si>
    <t>Valparaiso</t>
  </si>
  <si>
    <t>Wake Forest</t>
  </si>
  <si>
    <t>Mississippi Valley State</t>
  </si>
  <si>
    <t>Chicago State</t>
  </si>
  <si>
    <t>Arkansas–Pine Bluff</t>
  </si>
  <si>
    <t>Coppin State</t>
  </si>
  <si>
    <t>Delaware State</t>
  </si>
  <si>
    <t>Maryland Eastern Shore</t>
  </si>
  <si>
    <t>Central Arkansas</t>
  </si>
  <si>
    <t>Alabama A&amp;M</t>
  </si>
  <si>
    <t>Florida A&amp;M</t>
  </si>
  <si>
    <t>South Carolina State</t>
  </si>
  <si>
    <t>Alcorn State</t>
  </si>
  <si>
    <t>Houston Christian</t>
  </si>
  <si>
    <t>Alabama State</t>
  </si>
  <si>
    <t>VMI</t>
  </si>
  <si>
    <t>North Carolina A&amp;T</t>
  </si>
  <si>
    <t>IU Indy</t>
  </si>
  <si>
    <t>Northwestern State</t>
  </si>
  <si>
    <t>Maine</t>
  </si>
  <si>
    <t>The Citadel</t>
  </si>
  <si>
    <t>San Jose State</t>
  </si>
  <si>
    <t>Incarnate Word</t>
  </si>
  <si>
    <t>Prairie View A&amp;M</t>
  </si>
  <si>
    <t>Northern Arizona</t>
  </si>
  <si>
    <t>USC Upstate</t>
  </si>
  <si>
    <t>Detroit Mercy</t>
  </si>
  <si>
    <t>New Orleans</t>
  </si>
  <si>
    <t>Cal Poly</t>
  </si>
  <si>
    <t>Tennessee Tech</t>
  </si>
  <si>
    <t>Omaha</t>
  </si>
  <si>
    <t>Kennesaw State</t>
  </si>
  <si>
    <t>Charleston Southern</t>
  </si>
  <si>
    <t>Texas–Rio Grande Valley</t>
  </si>
  <si>
    <t>Western Carolina</t>
  </si>
  <si>
    <t>Jackson State</t>
  </si>
  <si>
    <t>North Florida</t>
  </si>
  <si>
    <t>Bethune-Cookman</t>
  </si>
  <si>
    <t>Evansville</t>
  </si>
  <si>
    <t>Presbyterian</t>
  </si>
  <si>
    <t>Central Connecticut State</t>
  </si>
  <si>
    <t>Howard</t>
  </si>
  <si>
    <t>UTSA</t>
  </si>
  <si>
    <t>Stetson</t>
  </si>
  <si>
    <t>Louisiana–Monroe</t>
  </si>
  <si>
    <t>Morgan State</t>
  </si>
  <si>
    <t>Air Force</t>
  </si>
  <si>
    <t>SIU Edwardsville</t>
  </si>
  <si>
    <t>Western Michigan</t>
  </si>
  <si>
    <t>Southern</t>
  </si>
  <si>
    <t>Holy Cross</t>
  </si>
  <si>
    <t>Green Bay</t>
  </si>
  <si>
    <t>Binghamton</t>
  </si>
  <si>
    <t>Eastern Illinois</t>
  </si>
  <si>
    <t>Southeast Missouri State</t>
  </si>
  <si>
    <t>Pepperdine</t>
  </si>
  <si>
    <t>Southern Mississippi</t>
  </si>
  <si>
    <t>Denver</t>
  </si>
  <si>
    <t>Portland</t>
  </si>
  <si>
    <t>Eastern Michigan</t>
  </si>
  <si>
    <t>Grambling State</t>
  </si>
  <si>
    <t>UT Martin</t>
  </si>
  <si>
    <t>Western Illinois</t>
  </si>
  <si>
    <t>Idaho State</t>
  </si>
  <si>
    <t>Southeastern Louisiana</t>
  </si>
  <si>
    <t>Pacific</t>
  </si>
  <si>
    <t>California</t>
  </si>
  <si>
    <t>Texas Southern</t>
  </si>
  <si>
    <t>Austin Peay</t>
  </si>
  <si>
    <t>DePaul</t>
  </si>
  <si>
    <t>North Dakota</t>
  </si>
  <si>
    <t>FDU</t>
  </si>
  <si>
    <t>Northern Illinois</t>
  </si>
  <si>
    <t>Hampton</t>
  </si>
  <si>
    <t>Loyola (MD)</t>
  </si>
  <si>
    <t>NJIT</t>
  </si>
  <si>
    <t>Kansas City</t>
  </si>
  <si>
    <t>Savannah State</t>
  </si>
  <si>
    <t>Nicholls State</t>
  </si>
  <si>
    <t>East Carolina</t>
  </si>
  <si>
    <t>Sacramento State</t>
  </si>
  <si>
    <t>Manhattan</t>
  </si>
  <si>
    <t>Saint Francis (PA)</t>
  </si>
  <si>
    <t>Cleveland State</t>
  </si>
  <si>
    <t>La Salle</t>
  </si>
  <si>
    <t>Southern Utah</t>
  </si>
  <si>
    <t>McNeese State</t>
  </si>
  <si>
    <t>Long Beach State</t>
  </si>
  <si>
    <t>Boston College</t>
  </si>
  <si>
    <t>Rutgers</t>
  </si>
  <si>
    <t>William &amp; Mary</t>
  </si>
  <si>
    <t>Dartmouth</t>
  </si>
  <si>
    <t>Oral Roberts</t>
  </si>
  <si>
    <t>Lafayette</t>
  </si>
  <si>
    <t>Lamar</t>
  </si>
  <si>
    <t>Bryant</t>
  </si>
  <si>
    <t>Idaho</t>
  </si>
  <si>
    <t>Jacksonville</t>
  </si>
  <si>
    <t>Columbia</t>
  </si>
  <si>
    <t>San Diego</t>
  </si>
  <si>
    <t>Nebraska</t>
  </si>
  <si>
    <t>New Hampshire</t>
  </si>
  <si>
    <t>Cal State Northridge</t>
  </si>
  <si>
    <t>Central Michigan</t>
  </si>
  <si>
    <t>American</t>
  </si>
  <si>
    <t>LIU</t>
  </si>
  <si>
    <t>Mount St. Mary's</t>
  </si>
  <si>
    <t>Niagara</t>
  </si>
  <si>
    <t>Florida International</t>
  </si>
  <si>
    <t>Longwood</t>
  </si>
  <si>
    <t>North Carolina Central</t>
  </si>
  <si>
    <t>Elon</t>
  </si>
  <si>
    <t>Tulsa</t>
  </si>
  <si>
    <t>Georgia</t>
  </si>
  <si>
    <t>Charlotte</t>
  </si>
  <si>
    <t>Eastern Kentucky</t>
  </si>
  <si>
    <t>Oregon State</t>
  </si>
  <si>
    <t>Illinois–Chicago</t>
  </si>
  <si>
    <t>Minnesota</t>
  </si>
  <si>
    <t>Rice</t>
  </si>
  <si>
    <t>Miami (OH)</t>
  </si>
  <si>
    <t>Robert Morris</t>
  </si>
  <si>
    <t>Cal State Bakersfield</t>
  </si>
  <si>
    <t>UC Riverside</t>
  </si>
  <si>
    <t>Wyoming</t>
  </si>
  <si>
    <t>St. Francis Brooklyn</t>
  </si>
  <si>
    <t>Canisius</t>
  </si>
  <si>
    <t>Tennessee State</t>
  </si>
  <si>
    <t>Fordham</t>
  </si>
  <si>
    <t>Youngstown State</t>
  </si>
  <si>
    <t>Cal State Fullerton</t>
  </si>
  <si>
    <t>Missouri</t>
  </si>
  <si>
    <t>Arkansas State</t>
  </si>
  <si>
    <t>South Florida</t>
  </si>
  <si>
    <t>North Alabama</t>
  </si>
  <si>
    <t>UTEP</t>
  </si>
  <si>
    <t>Morehead State</t>
  </si>
  <si>
    <t>TCU</t>
  </si>
  <si>
    <t>Cornell</t>
  </si>
  <si>
    <t>Sacred Heart</t>
  </si>
  <si>
    <t>Monmouth</t>
  </si>
  <si>
    <t>Delaware</t>
  </si>
  <si>
    <t>Utah Tech</t>
  </si>
  <si>
    <t>Washington State</t>
  </si>
  <si>
    <t>George Washington</t>
  </si>
  <si>
    <t>Tulane</t>
  </si>
  <si>
    <t>Georgetown</t>
  </si>
  <si>
    <t>Washington</t>
  </si>
  <si>
    <t>Little Rock</t>
  </si>
  <si>
    <t>Georgia Southern</t>
  </si>
  <si>
    <t>Georgia Tech</t>
  </si>
  <si>
    <t>South Dakota</t>
  </si>
  <si>
    <t>Marist</t>
  </si>
  <si>
    <t>Vanderbilt</t>
  </si>
  <si>
    <t>Massachusetts</t>
  </si>
  <si>
    <t>Stanford</t>
  </si>
  <si>
    <t>Drexel</t>
  </si>
  <si>
    <t>Loyola Marymount</t>
  </si>
  <si>
    <t>Hartford</t>
  </si>
  <si>
    <t>Samford</t>
  </si>
  <si>
    <t>Troy</t>
  </si>
  <si>
    <t>South Alabama</t>
  </si>
  <si>
    <t>Appalachian State</t>
  </si>
  <si>
    <t>Fairfield</t>
  </si>
  <si>
    <t>Siena</t>
  </si>
  <si>
    <t>Illinois State</t>
  </si>
  <si>
    <t>UNC Asheville</t>
  </si>
  <si>
    <t>Coastal Carolina</t>
  </si>
  <si>
    <t>Army</t>
  </si>
  <si>
    <t>PT MARGIN</t>
  </si>
  <si>
    <t>OPP TS%</t>
  </si>
  <si>
    <t>NET PF</t>
  </si>
  <si>
    <t>OPP FT%</t>
  </si>
  <si>
    <t>PT MARGIN/G</t>
  </si>
  <si>
    <t>HCA STRENGTH</t>
  </si>
  <si>
    <t>HOME GAMES</t>
  </si>
  <si>
    <t>HOME MARGIN</t>
  </si>
  <si>
    <t>AWAY GAMES</t>
  </si>
  <si>
    <t>AWAY MARGIN</t>
  </si>
  <si>
    <t>HOME W/L%</t>
  </si>
  <si>
    <t>HOME MARGIN/GAME</t>
  </si>
  <si>
    <t>AWAY MARGIN/GAME</t>
  </si>
  <si>
    <t>Power 5 Teams</t>
  </si>
  <si>
    <t>Big 12</t>
  </si>
  <si>
    <t>Big 10</t>
  </si>
  <si>
    <t>ACC</t>
  </si>
  <si>
    <t>SEC</t>
  </si>
  <si>
    <t>Big East</t>
  </si>
  <si>
    <t>Mississippi</t>
  </si>
  <si>
    <t>Southern Methodist</t>
  </si>
  <si>
    <t>Conference</t>
  </si>
  <si>
    <t>WCC</t>
  </si>
  <si>
    <t>Mountain West</t>
  </si>
  <si>
    <t>average win percentage for home teams</t>
  </si>
  <si>
    <t>Rank</t>
  </si>
  <si>
    <t>NET PF/G</t>
  </si>
  <si>
    <t>AWAY W/L%</t>
  </si>
  <si>
    <t>Change in W/L%</t>
  </si>
  <si>
    <t>Away ORtg</t>
  </si>
  <si>
    <t>Away DRtg</t>
  </si>
  <si>
    <t>Away TS%</t>
  </si>
  <si>
    <t>Away OPP TS%</t>
  </si>
  <si>
    <t>Away NET PF/G</t>
  </si>
  <si>
    <t>Away NET PF</t>
  </si>
  <si>
    <t>Away OPP FT%</t>
  </si>
  <si>
    <t>DIFF AVG MARGIN</t>
  </si>
  <si>
    <t>Avg. Difference in W/L%</t>
  </si>
  <si>
    <t>Avg. Difference in Point Margin/Game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</si>
</sst>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9" fontId="19" fillId="0" borderId="0" xfId="1" applyFont="1" applyAlignment="1">
      <alignment horizontal="center" vertical="center" wrapText="1"/>
    </xf>
    <xf numFmtId="9" fontId="18" fillId="0" borderId="0" xfId="1" applyFont="1" applyAlignment="1">
      <alignment wrapText="1"/>
    </xf>
    <xf numFmtId="9" fontId="0" fillId="0" borderId="0" xfId="1" applyFont="1"/>
    <xf numFmtId="2" fontId="0" fillId="0" borderId="0" xfId="0" applyNumberFormat="1"/>
    <xf numFmtId="2" fontId="19" fillId="33" borderId="0" xfId="0" applyNumberFormat="1" applyFont="1" applyFill="1" applyAlignment="1">
      <alignment horizontal="center" vertical="center" wrapText="1"/>
    </xf>
    <xf numFmtId="2" fontId="18" fillId="33" borderId="0" xfId="1" applyNumberFormat="1" applyFont="1" applyFill="1" applyAlignment="1">
      <alignment wrapText="1"/>
    </xf>
    <xf numFmtId="2" fontId="0" fillId="33" borderId="0" xfId="0" applyNumberFormat="1" applyFill="1"/>
    <xf numFmtId="0" fontId="18" fillId="0" borderId="0" xfId="0" applyFont="1"/>
    <xf numFmtId="0" fontId="21" fillId="0" borderId="0" xfId="0" applyFont="1"/>
    <xf numFmtId="0" fontId="22" fillId="0" borderId="0" xfId="0" applyFont="1"/>
    <xf numFmtId="0" fontId="18" fillId="34" borderId="0" xfId="0" applyFont="1" applyFill="1" applyAlignment="1">
      <alignment wrapText="1"/>
    </xf>
    <xf numFmtId="0" fontId="0" fillId="0" borderId="10" xfId="0" applyBorder="1"/>
    <xf numFmtId="9" fontId="0" fillId="0" borderId="0" xfId="1" applyFont="1" applyFill="1" applyBorder="1" applyAlignment="1"/>
    <xf numFmtId="9" fontId="0" fillId="35" borderId="0" xfId="1" applyFont="1" applyFill="1" applyBorder="1" applyAlignment="1"/>
    <xf numFmtId="12" fontId="19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Continuous"/>
    </xf>
    <xf numFmtId="2" fontId="18" fillId="0" borderId="0" xfId="1" applyNumberFormat="1" applyFont="1" applyAlignment="1">
      <alignment wrapText="1"/>
    </xf>
    <xf numFmtId="2" fontId="0" fillId="0" borderId="0" xfId="1" applyNumberFormat="1" applyFont="1"/>
    <xf numFmtId="9" fontId="18" fillId="0" borderId="0" xfId="1" applyFont="1" applyAlignment="1">
      <alignment horizontal="center" vertical="center" wrapText="1"/>
    </xf>
    <xf numFmtId="9" fontId="0" fillId="0" borderId="0" xfId="0" applyNumberFormat="1"/>
    <xf numFmtId="9" fontId="18" fillId="33" borderId="0" xfId="1" applyFont="1" applyFill="1" applyAlignment="1">
      <alignment wrapText="1"/>
    </xf>
    <xf numFmtId="9" fontId="19" fillId="33" borderId="0" xfId="1" applyFont="1" applyFill="1" applyAlignment="1">
      <alignment horizontal="center" vertical="center" wrapText="1"/>
    </xf>
    <xf numFmtId="0" fontId="19" fillId="36" borderId="0" xfId="0" applyFont="1" applyFill="1" applyAlignment="1">
      <alignment horizontal="center" vertical="center" wrapText="1"/>
    </xf>
    <xf numFmtId="9" fontId="19" fillId="36" borderId="0" xfId="1" applyFont="1" applyFill="1" applyAlignment="1">
      <alignment horizontal="center" vertical="center" wrapText="1"/>
    </xf>
    <xf numFmtId="2" fontId="19" fillId="36" borderId="0" xfId="1" applyNumberFormat="1" applyFont="1" applyFill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0" fontId="19" fillId="37" borderId="0" xfId="0" applyFont="1" applyFill="1" applyAlignment="1">
      <alignment horizontal="center" vertical="center" wrapText="1"/>
    </xf>
    <xf numFmtId="0" fontId="19" fillId="38" borderId="0" xfId="0" applyFont="1" applyFill="1" applyAlignment="1">
      <alignment horizontal="center" vertical="center" wrapText="1"/>
    </xf>
    <xf numFmtId="9" fontId="19" fillId="38" borderId="0" xfId="1" applyFont="1" applyFill="1" applyAlignment="1">
      <alignment horizontal="center" vertical="center" wrapText="1"/>
    </xf>
    <xf numFmtId="2" fontId="19" fillId="38" borderId="0" xfId="1" applyNumberFormat="1" applyFont="1" applyFill="1" applyAlignment="1">
      <alignment horizontal="center" vertical="center" wrapText="1"/>
    </xf>
    <xf numFmtId="0" fontId="18" fillId="39" borderId="0" xfId="0" applyFont="1" applyFill="1" applyAlignment="1">
      <alignment wrapText="1"/>
    </xf>
    <xf numFmtId="9" fontId="18" fillId="39" borderId="0" xfId="1" applyFont="1" applyFill="1" applyAlignment="1">
      <alignment wrapText="1"/>
    </xf>
    <xf numFmtId="2" fontId="18" fillId="39" borderId="0" xfId="1" applyNumberFormat="1" applyFont="1" applyFill="1" applyAlignment="1">
      <alignment wrapText="1"/>
    </xf>
    <xf numFmtId="2" fontId="18" fillId="39" borderId="0" xfId="0" applyNumberFormat="1" applyFont="1" applyFill="1" applyAlignment="1">
      <alignment wrapText="1"/>
    </xf>
    <xf numFmtId="0" fontId="18" fillId="40" borderId="0" xfId="0" applyFont="1" applyFill="1" applyAlignment="1">
      <alignment wrapText="1"/>
    </xf>
    <xf numFmtId="9" fontId="18" fillId="40" borderId="0" xfId="1" applyFont="1" applyFill="1" applyAlignment="1">
      <alignment wrapText="1"/>
    </xf>
    <xf numFmtId="2" fontId="18" fillId="40" borderId="0" xfId="1" applyNumberFormat="1" applyFont="1" applyFill="1" applyAlignment="1">
      <alignment wrapText="1"/>
    </xf>
    <xf numFmtId="2" fontId="18" fillId="40" borderId="0" xfId="0" applyNumberFormat="1" applyFont="1" applyFill="1" applyAlignment="1">
      <alignment wrapText="1"/>
    </xf>
    <xf numFmtId="9" fontId="0" fillId="0" borderId="0" xfId="1" applyFont="1" applyFill="1"/>
    <xf numFmtId="0" fontId="0" fillId="0" borderId="0" xfId="0" applyAlignment="1">
      <alignment horizontal="center"/>
    </xf>
    <xf numFmtId="0" fontId="0" fillId="35" borderId="0" xfId="0" applyFill="1" applyAlignment="1">
      <alignment horizontal="left"/>
    </xf>
    <xf numFmtId="9" fontId="0" fillId="35" borderId="0" xfId="1" applyFont="1" applyFill="1"/>
    <xf numFmtId="2" fontId="0" fillId="35" borderId="0" xfId="0" applyNumberFormat="1" applyFill="1"/>
    <xf numFmtId="0" fontId="0" fillId="0" borderId="0" xfId="0" applyFill="1"/>
    <xf numFmtId="0" fontId="21" fillId="0" borderId="0" xfId="0" applyFont="1" applyFill="1" applyBorder="1"/>
    <xf numFmtId="0" fontId="0" fillId="0" borderId="0" xfId="0" applyFill="1" applyBorder="1"/>
    <xf numFmtId="0" fontId="23" fillId="0" borderId="0" xfId="0" applyFont="1" applyFill="1" applyBorder="1" applyAlignment="1">
      <alignment horizontal="centerContinuous"/>
    </xf>
    <xf numFmtId="9" fontId="18" fillId="0" borderId="11" xfId="1" applyFont="1" applyFill="1" applyBorder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7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399975585192419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399975585192419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399975585192419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fill>
        <patternFill patternType="solid">
          <fgColor indexed="64"/>
          <bgColor theme="5" tint="0.3999755851924192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jun Dev Khatti" id="{A6E94313-A2F4-FB4E-89A7-54863589B243}" userId="S::tgz5419@ads.northwestern.edu::96012f12-d5b5-4a29-ba90-b29344db880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5C72EF-8653-504B-9517-076F823A7422}" name="Table2" displayName="Table2" ref="A1:AD368" totalsRowShown="0" headerRowDxfId="69" dataDxfId="68" dataCellStyle="Percent">
  <autoFilter ref="A1:AD368" xr:uid="{D05C72EF-8653-504B-9517-076F823A7422}">
    <filterColumn colId="3">
      <filters>
        <filter val="ACC"/>
        <filter val="Big 10"/>
        <filter val="Big 12"/>
        <filter val="Big East"/>
        <filter val="SEC"/>
      </filters>
    </filterColumn>
  </autoFilter>
  <sortState xmlns:xlrd2="http://schemas.microsoft.com/office/spreadsheetml/2017/richdata2" ref="A5:AD366">
    <sortCondition ref="C1:C368"/>
  </sortState>
  <tableColumns count="30">
    <tableColumn id="1" xr3:uid="{A727BCBE-2C50-C140-965E-3B7C5C1679E6}" name="Rk" dataDxfId="67"/>
    <tableColumn id="7" xr3:uid="{9427A2AB-62CF-B645-9471-497C1AC35F37}" name="Rank" dataDxfId="66"/>
    <tableColumn id="2" xr3:uid="{B2D6C500-55F1-EE4B-8668-871969BB3BEE}" name="Team" dataDxfId="65"/>
    <tableColumn id="21" xr3:uid="{0C2A7435-9CA8-F34E-A9E2-A5B2E2E60A73}" name="Conference" dataDxfId="64">
      <calculatedColumnFormula>IF(COUNTIF($AG$3:$AG$20,C2)&gt;0,$AG$2,
 IF(COUNTIF($AH$3:$AH$20,C2)&gt;0,$AH$2,
 IF(COUNTIF($AI$3:$AI$20,C2)&gt;0,$AI$2,
 IF(COUNTIF($AJ$3:$AJ$20,C2)&gt;0,$AJ$2,
 IF(COUNTIF($AK$3:$AK$20,C2)&gt;0,$AK$2,
 IF(COUNTIF($AL$3:$AL$20,C2)&gt;0,$AL$2,
 IF(COUNTIF($AM$3:$AM$20,C2)&gt;0,$AM$2,"Not Found")))))))</calculatedColumnFormula>
    </tableColumn>
    <tableColumn id="3" xr3:uid="{F2E9732E-0108-DD4E-8BF8-6FF9CA65B6D2}" name="From" dataDxfId="63"/>
    <tableColumn id="4" xr3:uid="{C005741C-7E5B-794F-8B2B-B0B286096CF4}" name="To" dataDxfId="62"/>
    <tableColumn id="5" xr3:uid="{8282F27F-4E75-5B4C-AA17-8740EFCFB8C1}" name="HOME GAMES" dataDxfId="61"/>
    <tableColumn id="16" xr3:uid="{95CF368F-C313-5544-A29B-D5EC39FE673A}" name="HOME MARGIN" dataDxfId="60"/>
    <tableColumn id="17" xr3:uid="{088295B6-D891-2C47-97E2-293E413202C5}" name="AWAY GAMES" dataDxfId="59"/>
    <tableColumn id="18" xr3:uid="{0A1982A6-D1AF-7349-94F6-8E0A16DCC875}" name="AWAY MARGIN" dataDxfId="58"/>
    <tableColumn id="6" xr3:uid="{6C69C2A8-1C49-114E-8E56-AF61B32280E6}" name="HOME W/L%" dataDxfId="57" dataCellStyle="Percent"/>
    <tableColumn id="22" xr3:uid="{25C26CCE-0946-0D47-A326-80F57DCBE10B}" name="AWAY W/L%" dataDxfId="56" dataCellStyle="Percent"/>
    <tableColumn id="8" xr3:uid="{FE7FD3EE-E5A0-C84A-9C3F-41D0A3140A31}" name="ORtg" dataDxfId="55"/>
    <tableColumn id="36" xr3:uid="{D96A6FC4-1899-7B4D-8A5F-E7E6D8431DFD}" name="Away ORtg" dataDxfId="54"/>
    <tableColumn id="9" xr3:uid="{537547CC-5EE1-E14A-91D6-F28F4D1E27ED}" name="DRtg" dataDxfId="53"/>
    <tableColumn id="37" xr3:uid="{1557AB81-8DE1-B445-A672-3D878D8DC4A0}" name="Away DRtg" dataDxfId="52"/>
    <tableColumn id="10" xr3:uid="{F4FAF86F-6D69-474E-90AD-28656CF209B6}" name="TS%" dataDxfId="51" dataCellStyle="Percent"/>
    <tableColumn id="32" xr3:uid="{962953DB-B0D0-AC46-B238-ADC79ECD3114}" name="Away TS%" dataDxfId="50" dataCellStyle="Percent"/>
    <tableColumn id="11" xr3:uid="{0B431D62-AA42-C84B-9C43-1DD62958CDA0}" name="OPP TS%" dataDxfId="49" dataCellStyle="Percent"/>
    <tableColumn id="33" xr3:uid="{C10F0E9E-5CD0-1740-82EC-296A7EE283C1}" name="Away OPP TS%" dataDxfId="48" dataCellStyle="Percent"/>
    <tableColumn id="15" xr3:uid="{BE5184E5-7066-6445-9937-AFC852B09449}" name="NET PF/G" dataDxfId="47" dataCellStyle="Percent">
      <calculatedColumnFormula>Table2[[#This Row],[NET PF]]/Table2[[#This Row],[HOME GAMES]]</calculatedColumnFormula>
    </tableColumn>
    <tableColumn id="34" xr3:uid="{0A8D2A12-5BF1-934A-BB93-066F13324583}" name="Away NET PF/G" dataDxfId="46" dataCellStyle="Percent">
      <calculatedColumnFormula>393/Table2[[#This Row],[AWAY GAMES]]</calculatedColumnFormula>
    </tableColumn>
    <tableColumn id="13" xr3:uid="{E12AFC6C-8F1C-E943-A6F6-9B92621B2D4A}" name="OPP FT%" dataDxfId="45" dataCellStyle="Percent"/>
    <tableColumn id="24" xr3:uid="{865003A9-0F58-FA45-B644-A467FAC45218}" name="Away OPP FT%" dataDxfId="44" dataCellStyle="Percent"/>
    <tableColumn id="12" xr3:uid="{BF699FCE-0BF3-CD4E-98FA-1A3ED10D2B48}" name="NET PF" dataDxfId="43"/>
    <tableColumn id="35" xr3:uid="{E6C54FE2-2A8E-3241-9C96-5FA4C36A22FB}" name="Away NET PF" dataDxfId="42"/>
    <tableColumn id="14" xr3:uid="{AA641F79-62D9-6F40-87D7-3A9B4845B943}" name="HOME MARGIN/GAME" dataDxfId="41" dataCellStyle="Percent">
      <calculatedColumnFormula>Table2[[#This Row],[HOME MARGIN]]/Table2[[#This Row],[HOME GAMES]]</calculatedColumnFormula>
    </tableColumn>
    <tableColumn id="19" xr3:uid="{5690D01D-03CA-3F49-9DCB-46859D9666EF}" name="AWAY MARGIN/GAME" dataDxfId="40" dataCellStyle="Percent">
      <calculatedColumnFormula>Table2[[#This Row],[AWAY MARGIN]]/Table2[[#This Row],[AWAY GAMES]]</calculatedColumnFormula>
    </tableColumn>
    <tableColumn id="20" xr3:uid="{ABDF5ED4-B50C-004E-91C7-0F545AE41257}" name="HCA STRENGTH" dataDxfId="39" dataCellStyle="Percent">
      <calculatedColumnFormula>Table2[[#This Row],[HOME MARGIN/GAME]]-Table2[[#This Row],[AWAY MARGIN/GAME]]</calculatedColumnFormula>
    </tableColumn>
    <tableColumn id="23" xr3:uid="{5B727BF4-A3A5-404A-81A5-6FEAD616B853}" name="Change in W/L%" dataDxfId="38" dataCellStyle="Percent">
      <calculatedColumnFormula>Table2[[#This Row],[HOME W/L%]]-Table2[[#This Row],[AWAY W/L%]]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68B8AE-5BE5-064C-AE58-27C4A1C4283F}" name="Conferences" displayName="Conferences" ref="AG2:AM20" totalsRowShown="0" headerRowDxfId="37" dataDxfId="36">
  <autoFilter ref="AG2:AM20" xr:uid="{2068B8AE-5BE5-064C-AE58-27C4A1C4283F}"/>
  <tableColumns count="7">
    <tableColumn id="1" xr3:uid="{B54689A1-E5EF-1544-AA2A-EC8C119AA35B}" name="Big 12" dataDxfId="35"/>
    <tableColumn id="2" xr3:uid="{92E326BD-9F4C-3A43-BC2B-22F7FAB0AE16}" name="Big 10" dataDxfId="34"/>
    <tableColumn id="3" xr3:uid="{5F1887F6-7228-E94F-99E1-1DB80C35DD9A}" name="ACC" dataDxfId="33"/>
    <tableColumn id="4" xr3:uid="{381DBB2B-66C3-6140-A100-F14E1296C47E}" name="SEC" dataDxfId="32"/>
    <tableColumn id="5" xr3:uid="{F8BE0822-27E6-CC43-8B0C-209C87EC0639}" name="Big East"/>
    <tableColumn id="6" xr3:uid="{E46690EB-E60F-8B48-B4CF-FF8E225F18D2}" name="WCC" dataDxfId="31"/>
    <tableColumn id="7" xr3:uid="{6D5B0B19-9606-CE43-BF77-0BB1B9A308F2}" name="Mountain West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814E4F-7526-E34E-BA1D-F6415FD7B8ED}" name="Table1" displayName="Table1" ref="A1:O368" totalsRowShown="0" headerRowDxfId="29" dataDxfId="28" dataCellStyle="Percent">
  <autoFilter ref="A1:O368" xr:uid="{F9814E4F-7526-E34E-BA1D-F6415FD7B8ED}">
    <filterColumn colId="2">
      <filters>
        <filter val="ACC"/>
        <filter val="Big 10"/>
        <filter val="Big 12"/>
        <filter val="Big East"/>
        <filter val="SEC"/>
      </filters>
    </filterColumn>
  </autoFilter>
  <sortState xmlns:xlrd2="http://schemas.microsoft.com/office/spreadsheetml/2017/richdata2" ref="A5:O366">
    <sortCondition ref="B1:B368"/>
  </sortState>
  <tableColumns count="15">
    <tableColumn id="1" xr3:uid="{947B1F88-4DD5-D742-B861-CAAE25345841}" name="Rk" dataDxfId="27"/>
    <tableColumn id="2" xr3:uid="{3689FDAE-F55E-1341-B57A-3298952E8B0F}" name="Team" dataDxfId="26"/>
    <tableColumn id="15" xr3:uid="{4FEBDBEE-F5F2-1E4B-BCAC-B471199D4760}" name="Conference" dataDxfId="25">
      <calculatedColumnFormula>IF(COUNTIF($X$3:$X$20,B2)&gt;0,$X$2,
 IF(COUNTIF($Y$3:$Y$20,B2)&gt;0,$Y$2,
 IF(COUNTIF($Z$3:$Z$20,B2)&gt;0,$Z$2,
 IF(COUNTIF($AA$3:$AA$20,B2)&gt;0,$AA$2,
 IF(COUNTIF($AB$3:$AB$20,B2)&gt;0,$AB$2,
 IF(COUNTIF($AC$3:$AC$20,B2)&gt;0,$AC$2,
 IF(COUNTIF($AD$3:$AD$20,B2)&gt;0,$AD$2,
 "Not Found")))))))</calculatedColumnFormula>
    </tableColumn>
    <tableColumn id="3" xr3:uid="{EDC89B12-68DD-C541-8EDD-4355A0565332}" name="From" dataDxfId="24"/>
    <tableColumn id="4" xr3:uid="{6B04CB5F-CD8F-3A47-B310-B83C014F3FCD}" name="To" dataDxfId="23"/>
    <tableColumn id="5" xr3:uid="{73D84870-2FE8-664F-8AEF-20B82911EA1B}" name="G" dataDxfId="22"/>
    <tableColumn id="6" xr3:uid="{0CCDE739-2B22-6049-BC5B-D99D9BA4F183}" name="W/L%" dataDxfId="21" dataCellStyle="Percent"/>
    <tableColumn id="7" xr3:uid="{C1C89626-100F-C34E-BE1D-ED8D85F0F004}" name="PT MARGIN" dataDxfId="20"/>
    <tableColumn id="8" xr3:uid="{00AF1CD7-81F0-D845-924B-2AA80D929463}" name="ORtg" dataDxfId="19"/>
    <tableColumn id="9" xr3:uid="{95BE1CE1-6DBC-9441-B542-943AE2673C59}" name="DRtg" dataDxfId="18"/>
    <tableColumn id="10" xr3:uid="{5A57DAE8-2257-9447-B1F7-8C1DCFC05393}" name="TS%" dataDxfId="17" dataCellStyle="Percent"/>
    <tableColumn id="11" xr3:uid="{B28B6398-9CB4-8B41-A4C6-972101536D60}" name="OPP TS%" dataDxfId="16" dataCellStyle="Percent"/>
    <tableColumn id="12" xr3:uid="{BD7AB918-0105-2048-86F3-CFEA64BA98C2}" name="NET PF" dataDxfId="15"/>
    <tableColumn id="13" xr3:uid="{AF4991D0-4F65-DA43-8FBA-525C11C0413C}" name="OPP FT%" dataDxfId="14" dataCellStyle="Percent"/>
    <tableColumn id="14" xr3:uid="{1E65DE85-CFE6-7344-A2D6-E187471A73B8}" name="PT MARGIN/G" dataDxfId="13" dataCellStyle="Percent">
      <calculatedColumnFormula>Table1[[#This Row],[PT MARGIN]]/Table1[[#This Row],[G]]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60A323-3FA9-8244-9982-01A55DFA86D2}" name="Conferences6" displayName="Conferences6" ref="X2:AD20" totalsRowShown="0" headerRowDxfId="12" dataDxfId="11">
  <autoFilter ref="X2:AD20" xr:uid="{E260A323-3FA9-8244-9982-01A55DFA86D2}"/>
  <tableColumns count="7">
    <tableColumn id="1" xr3:uid="{C6FC300C-586A-E84B-911B-13EDBAAC0CE8}" name="Big 12" dataDxfId="10"/>
    <tableColumn id="2" xr3:uid="{95A4D2E1-20A8-034F-95C0-F005AB783F6D}" name="Big 10" dataDxfId="9"/>
    <tableColumn id="3" xr3:uid="{32808E1B-DD81-1842-A00A-571E81621CDE}" name="ACC" dataDxfId="8"/>
    <tableColumn id="4" xr3:uid="{D24F6C17-74AC-C64E-815D-DBFE62681722}" name="SEC" dataDxfId="7"/>
    <tableColumn id="5" xr3:uid="{DBC5A95F-5C32-004E-A4E2-5F380D8A18F6}" name="Big East"/>
    <tableColumn id="6" xr3:uid="{3F58284E-8512-D542-9AD5-D3ADDE588FB8}" name="WCC" dataDxfId="6"/>
    <tableColumn id="7" xr3:uid="{E199CAA2-B3D5-A448-A159-C71086F577D1}" name="Mountain West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EAAB17-B111-B14E-9C2C-35860DAFC6C0}" name="Table6" displayName="Table6" ref="A1:U78" totalsRowShown="0">
  <autoFilter ref="A1:U78" xr:uid="{BEEAAB17-B111-B14E-9C2C-35860DAFC6C0}"/>
  <sortState xmlns:xlrd2="http://schemas.microsoft.com/office/spreadsheetml/2017/richdata2" ref="A2:U78">
    <sortCondition descending="1" ref="T1:T78"/>
  </sortState>
  <tableColumns count="21">
    <tableColumn id="1" xr3:uid="{CAA29C36-2965-C74A-892D-8BD5D2DE3868}" name="Rank"/>
    <tableColumn id="2" xr3:uid="{B9534760-D914-274F-97CF-E39C81375B1C}" name="Team"/>
    <tableColumn id="3" xr3:uid="{218B8C58-F546-4E4A-8D8D-A3D466C0F703}" name="Conference"/>
    <tableColumn id="10" xr3:uid="{BC425677-703D-134D-85AC-3804AEA2976F}" name="HOME W/L%" dataCellStyle="Percent"/>
    <tableColumn id="11" xr3:uid="{DEFF7892-14D1-2B46-8BE8-3000E04B74F5}" name="AWAY W/L%" dataCellStyle="Percent"/>
    <tableColumn id="26" xr3:uid="{A403C388-A6F4-F145-88C2-B4C4D48DFEF8}" name="HOME MARGIN/GAME" dataDxfId="4" dataCellStyle="Percent"/>
    <tableColumn id="27" xr3:uid="{52C2C041-5ED8-A743-8F6C-ABE58E132A77}" name="AWAY MARGIN/GAME" dataDxfId="3" dataCellStyle="Percent"/>
    <tableColumn id="12" xr3:uid="{CC751C26-286E-4F45-B430-9020B8647B5D}" name="ORtg"/>
    <tableColumn id="13" xr3:uid="{CF2AF22C-B8D0-7C49-83D8-DD93D7D04F3A}" name="Away ORtg"/>
    <tableColumn id="14" xr3:uid="{D6424F29-173A-D747-A4E9-88BCC39E29B3}" name="DRtg"/>
    <tableColumn id="15" xr3:uid="{C7157B30-B7BB-FB4A-9D16-206E75CD74F1}" name="Away DRtg"/>
    <tableColumn id="16" xr3:uid="{D48A8527-634D-7C43-A7DD-81A1811CF13F}" name="TS%" dataCellStyle="Percent"/>
    <tableColumn id="17" xr3:uid="{A211C09F-83FD-CF41-90C5-320F3EA7B384}" name="Away TS%" dataCellStyle="Percent"/>
    <tableColumn id="18" xr3:uid="{90AD491B-976F-7B4E-9F7B-A8D2DF0BC104}" name="OPP TS%" dataCellStyle="Percent"/>
    <tableColumn id="19" xr3:uid="{24CCF659-25AB-5B4E-8161-0F8C3B40F72A}" name="Away OPP TS%" dataCellStyle="Percent"/>
    <tableColumn id="20" xr3:uid="{F1F182E4-85CB-B24C-8AAD-9A979787D117}" name="NET PF/G" dataDxfId="2"/>
    <tableColumn id="21" xr3:uid="{F1B74E77-AA95-CA4C-AC2F-C7A5372664AB}" name="Away NET PF/G" dataDxfId="1"/>
    <tableColumn id="22" xr3:uid="{F7B33FD3-59EA-834D-AD01-4F379E3CBB56}" name="OPP FT%" dataCellStyle="Percent"/>
    <tableColumn id="23" xr3:uid="{1862E105-E1DF-3D45-8F0A-409DD6E26D69}" name="Away OPP FT%" dataCellStyle="Percent"/>
    <tableColumn id="28" xr3:uid="{B090CBAA-50CC-8C40-8EFA-CD6DB08F7301}" name="DIFF AVG MARGIN" dataDxfId="0"/>
    <tableColumn id="29" xr3:uid="{A2A790FD-C0FF-984F-992A-ED9735A4D039}" name="Change in W/L%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2" dT="2026-02-18T20:37:15.18" personId="{A6E94313-A2F4-FB4E-89A7-54863589B243}" id="{2F801DB1-46E4-614B-87C8-03A6494E9ED6}">
    <text xml:space="preserve">Gonzaga
Santa Clara
Saint Mary's (CA)
Pepperdine
Loyola Marymount
San Diego
Portland
Pacific
Seattle
Oregon State
Washington State
San Francisco
</text>
  </threadedComment>
  <threadedComment ref="AM2" dT="2026-02-15T20:27:24.12" personId="{A6E94313-A2F4-FB4E-89A7-54863589B243}" id="{17F40619-1467-974B-B7D8-7A3774A6BD5C}">
    <text>San Diego St.
Utah State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C2" dT="2026-02-18T20:37:15.18" personId="{A6E94313-A2F4-FB4E-89A7-54863589B243}" id="{BF0B871D-EA9D-E040-834A-908D3FA9FD9E}">
    <text xml:space="preserve">Gonzaga
Santa Clara
Saint Mary's (CA)
Pepperdine
Loyola Marymount
San Diego
Portland
Pacific
Seattle
Oregon State
Washington State
San Francisco
</text>
  </threadedComment>
  <threadedComment ref="AD2" dT="2026-02-15T20:27:24.12" personId="{A6E94313-A2F4-FB4E-89A7-54863589B243}" id="{7D6DA680-98C0-7443-B7A6-7D4F1DB56477}">
    <text>San Diego St.
Utah State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AD01-035B-5F4B-AD6D-46D5013A9D38}">
  <dimension ref="A1:AM373"/>
  <sheetViews>
    <sheetView tabSelected="1" topLeftCell="B1" zoomScale="75" workbookViewId="0">
      <selection activeCell="AE103" sqref="AE103"/>
    </sheetView>
  </sheetViews>
  <sheetFormatPr baseColWidth="10" defaultColWidth="8.83203125" defaultRowHeight="16" x14ac:dyDescent="0.2"/>
  <cols>
    <col min="1" max="1" width="8" hidden="1" customWidth="1"/>
    <col min="2" max="2" width="8" customWidth="1"/>
    <col min="3" max="3" width="18.6640625" bestFit="1" customWidth="1"/>
    <col min="4" max="4" width="14" bestFit="1" customWidth="1"/>
    <col min="5" max="5" width="9.6640625" bestFit="1" customWidth="1"/>
    <col min="6" max="6" width="7.83203125" bestFit="1" customWidth="1"/>
    <col min="7" max="7" width="15.6640625" bestFit="1" customWidth="1"/>
    <col min="8" max="9" width="15.6640625" customWidth="1"/>
    <col min="10" max="10" width="16.33203125" bestFit="1" customWidth="1"/>
    <col min="11" max="11" width="15" style="5" bestFit="1" customWidth="1"/>
    <col min="12" max="12" width="15" style="5" customWidth="1"/>
    <col min="13" max="13" width="9.83203125" bestFit="1" customWidth="1"/>
    <col min="14" max="14" width="13.83203125" bestFit="1" customWidth="1"/>
    <col min="15" max="15" width="9.6640625" bestFit="1" customWidth="1"/>
    <col min="16" max="16" width="13.6640625" bestFit="1" customWidth="1"/>
    <col min="17" max="17" width="9.33203125" style="5" bestFit="1" customWidth="1"/>
    <col min="18" max="18" width="13.33203125" style="5" bestFit="1" customWidth="1"/>
    <col min="19" max="19" width="12.5" style="5" bestFit="1" customWidth="1"/>
    <col min="20" max="20" width="16.5" style="5" bestFit="1" customWidth="1"/>
    <col min="21" max="21" width="12.6640625" style="20" bestFit="1" customWidth="1"/>
    <col min="22" max="22" width="16.6640625" style="20" bestFit="1" customWidth="1"/>
    <col min="23" max="23" width="12.33203125" style="5" bestFit="1" customWidth="1"/>
    <col min="24" max="24" width="12.33203125" style="5" customWidth="1"/>
    <col min="25" max="25" width="10.83203125" bestFit="1" customWidth="1"/>
    <col min="26" max="26" width="10.83203125" customWidth="1"/>
    <col min="29" max="29" width="16.5" style="6" bestFit="1" customWidth="1"/>
    <col min="30" max="30" width="13.5" style="6" bestFit="1" customWidth="1"/>
    <col min="31" max="31" width="13.6640625" style="6" bestFit="1" customWidth="1"/>
    <col min="32" max="32" width="18.5" style="41" customWidth="1"/>
    <col min="33" max="33" width="22.6640625" bestFit="1" customWidth="1"/>
    <col min="34" max="34" width="17" bestFit="1" customWidth="1"/>
    <col min="35" max="35" width="11.83203125" bestFit="1" customWidth="1"/>
    <col min="36" max="36" width="13.83203125" bestFit="1" customWidth="1"/>
    <col min="37" max="37" width="14" bestFit="1" customWidth="1"/>
    <col min="38" max="38" width="11.83203125" bestFit="1" customWidth="1"/>
    <col min="39" max="39" width="10.5" bestFit="1" customWidth="1"/>
    <col min="40" max="40" width="13.5" bestFit="1" customWidth="1"/>
    <col min="41" max="41" width="16" bestFit="1" customWidth="1"/>
  </cols>
  <sheetData>
    <row r="1" spans="1:39" ht="45" x14ac:dyDescent="0.2">
      <c r="A1" s="1" t="s">
        <v>0</v>
      </c>
      <c r="B1" s="1" t="s">
        <v>409</v>
      </c>
      <c r="C1" s="1" t="s">
        <v>1</v>
      </c>
      <c r="D1" s="1" t="s">
        <v>405</v>
      </c>
      <c r="E1" s="1" t="s">
        <v>2</v>
      </c>
      <c r="F1" s="1" t="s">
        <v>3</v>
      </c>
      <c r="G1" s="1" t="s">
        <v>390</v>
      </c>
      <c r="H1" s="1" t="s">
        <v>391</v>
      </c>
      <c r="I1" s="1" t="s">
        <v>392</v>
      </c>
      <c r="J1" s="1" t="s">
        <v>393</v>
      </c>
      <c r="K1" s="3" t="s">
        <v>394</v>
      </c>
      <c r="L1" s="21" t="s">
        <v>411</v>
      </c>
      <c r="M1" s="25" t="s">
        <v>4</v>
      </c>
      <c r="N1" s="30" t="s">
        <v>413</v>
      </c>
      <c r="O1" s="25" t="s">
        <v>5</v>
      </c>
      <c r="P1" s="30" t="s">
        <v>414</v>
      </c>
      <c r="Q1" s="26" t="s">
        <v>6</v>
      </c>
      <c r="R1" s="31" t="s">
        <v>415</v>
      </c>
      <c r="S1" s="26" t="s">
        <v>385</v>
      </c>
      <c r="T1" s="31" t="s">
        <v>416</v>
      </c>
      <c r="U1" s="27" t="s">
        <v>410</v>
      </c>
      <c r="V1" s="32" t="s">
        <v>417</v>
      </c>
      <c r="W1" s="26" t="s">
        <v>387</v>
      </c>
      <c r="X1" s="31" t="s">
        <v>419</v>
      </c>
      <c r="Y1" s="29" t="s">
        <v>386</v>
      </c>
      <c r="Z1" s="29" t="s">
        <v>418</v>
      </c>
      <c r="AA1" s="7" t="s">
        <v>395</v>
      </c>
      <c r="AB1" s="7" t="s">
        <v>396</v>
      </c>
      <c r="AC1" s="7" t="s">
        <v>389</v>
      </c>
      <c r="AD1" s="24" t="s">
        <v>412</v>
      </c>
      <c r="AE1"/>
      <c r="AF1"/>
      <c r="AG1" s="42" t="s">
        <v>397</v>
      </c>
      <c r="AH1" s="42"/>
      <c r="AI1" s="42"/>
      <c r="AJ1" s="42"/>
      <c r="AK1" s="42"/>
    </row>
    <row r="2" spans="1:39" hidden="1" x14ac:dyDescent="0.2">
      <c r="A2" s="1">
        <v>31</v>
      </c>
      <c r="B2" s="1"/>
      <c r="C2" s="2" t="s">
        <v>204</v>
      </c>
      <c r="D2" s="2" t="str">
        <f t="shared" ref="D2:D4" si="0">IF(COUNTIF($AG$3:$AG$20,C2)&gt;0,$AG$2,
 IF(COUNTIF($AH$3:$AH$20,C2)&gt;0,$AH$2,
 IF(COUNTIF($AI$3:$AI$20,C2)&gt;0,$AI$2,
 IF(COUNTIF($AJ$3:$AJ$20,C2)&gt;0,$AJ$2,
 IF(COUNTIF($AK$3:$AK$20,C2)&gt;0,$AK$2,
 IF(COUNTIF($AL$3:$AL$20,C2)&gt;0,$AL$2,
 IF(COUNTIF($AM$3:$AM$20,C2)&gt;0,$AM$2,"Not Found")))))))</f>
        <v>Not Found</v>
      </c>
      <c r="E2" s="2" t="s">
        <v>10</v>
      </c>
      <c r="F2" s="2" t="s">
        <v>11</v>
      </c>
      <c r="G2" s="2">
        <v>148</v>
      </c>
      <c r="H2" s="2">
        <v>2080</v>
      </c>
      <c r="I2" s="2">
        <v>134</v>
      </c>
      <c r="J2" s="2">
        <v>-622</v>
      </c>
      <c r="K2" s="4">
        <v>0.73</v>
      </c>
      <c r="L2" s="4">
        <v>0.40300000000000002</v>
      </c>
      <c r="M2" s="2">
        <v>106.7</v>
      </c>
      <c r="N2" s="2">
        <v>97.3</v>
      </c>
      <c r="O2" s="2">
        <v>87.6</v>
      </c>
      <c r="P2" s="2">
        <v>103.8</v>
      </c>
      <c r="Q2" s="4">
        <v>0.56399999999999995</v>
      </c>
      <c r="R2" s="4">
        <v>0.52300000000000002</v>
      </c>
      <c r="S2" s="4">
        <v>0.51700000000000002</v>
      </c>
      <c r="T2" s="4">
        <v>0.57499999999999996</v>
      </c>
      <c r="U2" s="19">
        <f>Table2[[#This Row],[NET PF]]/Table2[[#This Row],[HOME GAMES]]</f>
        <v>1.222972972972973</v>
      </c>
      <c r="V2" s="28">
        <f>393/Table2[[#This Row],[AWAY GAMES]]</f>
        <v>2.9328358208955225</v>
      </c>
      <c r="W2" s="4">
        <v>0.70099999999999996</v>
      </c>
      <c r="X2" s="4">
        <v>0.70799999999999996</v>
      </c>
      <c r="Y2" s="2">
        <v>181</v>
      </c>
      <c r="Z2" s="2">
        <v>393</v>
      </c>
      <c r="AA2" s="8">
        <f>Table2[[#This Row],[HOME MARGIN]]/Table2[[#This Row],[HOME GAMES]]</f>
        <v>14.054054054054054</v>
      </c>
      <c r="AB2" s="8">
        <f>Table2[[#This Row],[AWAY MARGIN]]/Table2[[#This Row],[AWAY GAMES]]</f>
        <v>-4.6417910447761193</v>
      </c>
      <c r="AC2" s="8">
        <f>Table2[[#This Row],[HOME MARGIN/GAME]]-Table2[[#This Row],[AWAY MARGIN/GAME]]</f>
        <v>18.695845098830173</v>
      </c>
      <c r="AD2" s="23">
        <f>Table2[[#This Row],[HOME W/L%]]-Table2[[#This Row],[AWAY W/L%]]</f>
        <v>0.32699999999999996</v>
      </c>
      <c r="AE2"/>
      <c r="AF2"/>
      <c r="AG2" s="11" t="s">
        <v>398</v>
      </c>
      <c r="AH2" s="11" t="s">
        <v>399</v>
      </c>
      <c r="AI2" s="11" t="s">
        <v>400</v>
      </c>
      <c r="AJ2" s="11" t="s">
        <v>401</v>
      </c>
      <c r="AK2" s="11" t="s">
        <v>402</v>
      </c>
      <c r="AL2" s="11" t="s">
        <v>406</v>
      </c>
      <c r="AM2" s="11" t="s">
        <v>407</v>
      </c>
    </row>
    <row r="3" spans="1:39" hidden="1" x14ac:dyDescent="0.2">
      <c r="A3" s="1">
        <v>357</v>
      </c>
      <c r="B3" s="1"/>
      <c r="C3" s="2" t="s">
        <v>261</v>
      </c>
      <c r="D3" s="2" t="str">
        <f t="shared" si="0"/>
        <v>Not Found</v>
      </c>
      <c r="E3" s="2" t="s">
        <v>10</v>
      </c>
      <c r="F3" s="2" t="s">
        <v>11</v>
      </c>
      <c r="G3" s="2">
        <v>156</v>
      </c>
      <c r="H3" s="2">
        <v>-24</v>
      </c>
      <c r="I3" s="2">
        <v>124</v>
      </c>
      <c r="J3" s="2">
        <v>-1380</v>
      </c>
      <c r="K3" s="4">
        <v>0.48699999999999999</v>
      </c>
      <c r="L3" s="4">
        <v>0.185</v>
      </c>
      <c r="M3" s="2">
        <v>104.3</v>
      </c>
      <c r="N3" s="2">
        <v>93.4</v>
      </c>
      <c r="O3" s="2">
        <v>104.6</v>
      </c>
      <c r="P3" s="2">
        <v>110.1</v>
      </c>
      <c r="Q3" s="4">
        <v>0.56699999999999995</v>
      </c>
      <c r="R3" s="4">
        <v>0.51400000000000001</v>
      </c>
      <c r="S3" s="4">
        <v>0.55600000000000005</v>
      </c>
      <c r="T3" s="4">
        <v>0.57899999999999996</v>
      </c>
      <c r="U3" s="19">
        <f>Table2[[#This Row],[NET PF]]/Table2[[#This Row],[HOME GAMES]]</f>
        <v>-2</v>
      </c>
      <c r="V3" s="28">
        <f>393/Table2[[#This Row],[AWAY GAMES]]</f>
        <v>3.1693548387096775</v>
      </c>
      <c r="W3" s="4">
        <v>0.70099999999999996</v>
      </c>
      <c r="X3" s="4">
        <v>0.73499999999999999</v>
      </c>
      <c r="Y3" s="2">
        <v>-312</v>
      </c>
      <c r="Z3" s="2">
        <v>184</v>
      </c>
      <c r="AA3" s="8">
        <f>Table2[[#This Row],[HOME MARGIN]]/Table2[[#This Row],[HOME GAMES]]</f>
        <v>-0.15384615384615385</v>
      </c>
      <c r="AB3" s="8">
        <f>Table2[[#This Row],[AWAY MARGIN]]/Table2[[#This Row],[AWAY GAMES]]</f>
        <v>-11.129032258064516</v>
      </c>
      <c r="AC3" s="8">
        <f>Table2[[#This Row],[HOME MARGIN/GAME]]-Table2[[#This Row],[AWAY MARGIN/GAME]]</f>
        <v>10.975186104218363</v>
      </c>
      <c r="AD3" s="23">
        <f>Table2[[#This Row],[HOME W/L%]]-Table2[[#This Row],[AWAY W/L%]]</f>
        <v>0.30199999999999999</v>
      </c>
      <c r="AE3"/>
      <c r="AF3"/>
      <c r="AG3" s="12" t="s">
        <v>32</v>
      </c>
      <c r="AH3" s="10" t="s">
        <v>33</v>
      </c>
      <c r="AI3" s="10" t="s">
        <v>23</v>
      </c>
      <c r="AJ3" s="10" t="s">
        <v>34</v>
      </c>
      <c r="AK3" s="10" t="s">
        <v>19</v>
      </c>
      <c r="AL3" s="10"/>
      <c r="AM3" s="10"/>
    </row>
    <row r="4" spans="1:39" hidden="1" x14ac:dyDescent="0.2">
      <c r="A4" s="1">
        <v>42</v>
      </c>
      <c r="B4" s="1"/>
      <c r="C4" s="2" t="s">
        <v>43</v>
      </c>
      <c r="D4" s="2" t="str">
        <f t="shared" si="0"/>
        <v>Not Found</v>
      </c>
      <c r="E4" s="2" t="s">
        <v>10</v>
      </c>
      <c r="F4" s="2" t="s">
        <v>11</v>
      </c>
      <c r="G4" s="2">
        <v>150</v>
      </c>
      <c r="H4" s="2">
        <v>2016</v>
      </c>
      <c r="I4" s="2">
        <v>117</v>
      </c>
      <c r="J4" s="2">
        <v>67</v>
      </c>
      <c r="K4" s="4">
        <v>0.88700000000000001</v>
      </c>
      <c r="L4" s="4">
        <v>0.47899999999999998</v>
      </c>
      <c r="M4" s="2">
        <v>112</v>
      </c>
      <c r="N4" s="2">
        <v>103.8</v>
      </c>
      <c r="O4" s="2">
        <v>92.9</v>
      </c>
      <c r="P4" s="2">
        <v>103</v>
      </c>
      <c r="Q4" s="4">
        <v>0.57699999999999996</v>
      </c>
      <c r="R4" s="4">
        <v>0.54300000000000004</v>
      </c>
      <c r="S4" s="4">
        <v>0.49399999999999999</v>
      </c>
      <c r="T4" s="4">
        <v>0.53400000000000003</v>
      </c>
      <c r="U4" s="19">
        <f>Table2[[#This Row],[NET PF]]/Table2[[#This Row],[HOME GAMES]]</f>
        <v>-2.3199999999999998</v>
      </c>
      <c r="V4" s="28">
        <f>393/Table2[[#This Row],[AWAY GAMES]]</f>
        <v>3.358974358974359</v>
      </c>
      <c r="W4" s="4">
        <v>0.66800000000000004</v>
      </c>
      <c r="X4" s="4">
        <v>0.72099999999999997</v>
      </c>
      <c r="Y4" s="2">
        <v>-348</v>
      </c>
      <c r="Z4" s="2">
        <v>150</v>
      </c>
      <c r="AA4" s="8">
        <f>Table2[[#This Row],[HOME MARGIN]]/Table2[[#This Row],[HOME GAMES]]</f>
        <v>13.44</v>
      </c>
      <c r="AB4" s="8">
        <f>Table2[[#This Row],[AWAY MARGIN]]/Table2[[#This Row],[AWAY GAMES]]</f>
        <v>0.57264957264957261</v>
      </c>
      <c r="AC4" s="8">
        <f>Table2[[#This Row],[HOME MARGIN/GAME]]-Table2[[#This Row],[AWAY MARGIN/GAME]]</f>
        <v>12.867350427350427</v>
      </c>
      <c r="AD4" s="23">
        <f>Table2[[#This Row],[HOME W/L%]]-Table2[[#This Row],[AWAY W/L%]]</f>
        <v>0.40800000000000003</v>
      </c>
      <c r="AE4"/>
      <c r="AF4"/>
      <c r="AG4" s="12" t="s">
        <v>184</v>
      </c>
      <c r="AH4" s="10" t="s">
        <v>169</v>
      </c>
      <c r="AI4" s="10" t="s">
        <v>14</v>
      </c>
      <c r="AJ4" s="10" t="s">
        <v>70</v>
      </c>
      <c r="AK4" s="10" t="s">
        <v>361</v>
      </c>
      <c r="AL4" s="10"/>
      <c r="AM4" s="10"/>
    </row>
    <row r="5" spans="1:39" x14ac:dyDescent="0.2">
      <c r="A5" s="1">
        <v>76</v>
      </c>
      <c r="B5" s="1">
        <v>31</v>
      </c>
      <c r="C5" s="2" t="s">
        <v>70</v>
      </c>
      <c r="D5" s="2" t="str">
        <f>IF(COUNTIF($AG$3:$AG$20,C5)&gt;0,$AG$2,
 IF(COUNTIF($AH$3:$AH$20,C5)&gt;0,$AH$2,
 IF(COUNTIF($AI$3:$AI$20,C5)&gt;0,$AI$2,
 IF(COUNTIF($AJ$3:$AJ$20,C5)&gt;0,$AJ$2,
 IF(COUNTIF($AK$3:$AK$20,C5)&gt;0,$AK$2,
 IF(COUNTIF($AL$3:$AL$20,C5)&gt;0,$AL$2,
 IF(COUNTIF($AM$3:$AM$20,C5)&gt;0,$AM$2,"Not Found")))))))</f>
        <v>SEC</v>
      </c>
      <c r="E5" s="2" t="s">
        <v>10</v>
      </c>
      <c r="F5" s="2" t="s">
        <v>11</v>
      </c>
      <c r="G5" s="2">
        <v>150</v>
      </c>
      <c r="H5" s="2">
        <v>1721</v>
      </c>
      <c r="I5" s="2">
        <v>111</v>
      </c>
      <c r="J5" s="2">
        <v>-87</v>
      </c>
      <c r="K5" s="4">
        <v>0.78700000000000003</v>
      </c>
      <c r="L5" s="4">
        <v>0.47699999999999998</v>
      </c>
      <c r="M5" s="2">
        <v>109.1</v>
      </c>
      <c r="N5" s="2">
        <v>102.6</v>
      </c>
      <c r="O5" s="2">
        <v>93.6</v>
      </c>
      <c r="P5" s="2">
        <v>103.7</v>
      </c>
      <c r="Q5" s="4">
        <v>0.56699999999999995</v>
      </c>
      <c r="R5" s="4">
        <v>0.54</v>
      </c>
      <c r="S5" s="4">
        <v>0.48699999999999999</v>
      </c>
      <c r="T5" s="4">
        <v>0.52800000000000002</v>
      </c>
      <c r="U5" s="19">
        <f>Table2[[#This Row],[NET PF]]/Table2[[#This Row],[HOME GAMES]]</f>
        <v>-2.9733333333333332</v>
      </c>
      <c r="V5" s="28">
        <f>393/Table2[[#This Row],[AWAY GAMES]]</f>
        <v>3.5405405405405403</v>
      </c>
      <c r="W5" s="4">
        <v>0.68400000000000005</v>
      </c>
      <c r="X5" s="4">
        <v>0.71799999999999997</v>
      </c>
      <c r="Y5" s="2">
        <v>-446</v>
      </c>
      <c r="Z5" s="2">
        <v>248</v>
      </c>
      <c r="AA5" s="8">
        <f>Table2[[#This Row],[HOME MARGIN]]/Table2[[#This Row],[HOME GAMES]]</f>
        <v>11.473333333333333</v>
      </c>
      <c r="AB5" s="8">
        <f>Table2[[#This Row],[AWAY MARGIN]]/Table2[[#This Row],[AWAY GAMES]]</f>
        <v>-0.78378378378378377</v>
      </c>
      <c r="AC5" s="8">
        <f>Table2[[#This Row],[HOME MARGIN/GAME]]-Table2[[#This Row],[AWAY MARGIN/GAME]]</f>
        <v>12.257117117117117</v>
      </c>
      <c r="AD5" s="23">
        <f>Table2[[#This Row],[HOME W/L%]]-Table2[[#This Row],[AWAY W/L%]]</f>
        <v>0.31000000000000005</v>
      </c>
      <c r="AE5" s="22"/>
      <c r="AF5"/>
      <c r="AG5" s="12" t="s">
        <v>60</v>
      </c>
      <c r="AH5" s="10" t="s">
        <v>76</v>
      </c>
      <c r="AI5" s="10" t="s">
        <v>182</v>
      </c>
      <c r="AJ5" s="10" t="s">
        <v>46</v>
      </c>
      <c r="AK5" s="10" t="s">
        <v>50</v>
      </c>
      <c r="AL5" s="10"/>
      <c r="AM5" s="10"/>
    </row>
    <row r="6" spans="1:39" ht="16" hidden="1" customHeight="1" x14ac:dyDescent="0.2">
      <c r="A6" s="1">
        <v>348</v>
      </c>
      <c r="B6" s="1"/>
      <c r="C6" s="2" t="s">
        <v>224</v>
      </c>
      <c r="D6" s="2" t="str">
        <f>IF(COUNTIF($AG$3:$AG$20,C6)&gt;0,$AG$2,
 IF(COUNTIF($AH$3:$AH$20,C6)&gt;0,$AH$2,
 IF(COUNTIF($AI$3:$AI$20,C6)&gt;0,$AI$2,
 IF(COUNTIF($AJ$3:$AJ$20,C6)&gt;0,$AJ$2,
 IF(COUNTIF($AK$3:$AK$20,C6)&gt;0,$AK$2,
 IF(COUNTIF($AL$3:$AL$20,C6)&gt;0,$AL$2,
 IF(COUNTIF($AM$3:$AM$20,C6)&gt;0,$AM$2,"Not Found")))))))</f>
        <v>Not Found</v>
      </c>
      <c r="E6" s="2" t="s">
        <v>10</v>
      </c>
      <c r="F6" s="2" t="s">
        <v>11</v>
      </c>
      <c r="G6" s="2">
        <v>117</v>
      </c>
      <c r="H6" s="2">
        <v>113</v>
      </c>
      <c r="I6" s="2">
        <v>159</v>
      </c>
      <c r="J6" s="2">
        <v>-2351</v>
      </c>
      <c r="K6" s="4">
        <v>0.47</v>
      </c>
      <c r="L6" s="4">
        <v>0.14499999999999999</v>
      </c>
      <c r="M6" s="2">
        <v>98.5</v>
      </c>
      <c r="N6" s="2">
        <v>87</v>
      </c>
      <c r="O6" s="2">
        <v>97.1</v>
      </c>
      <c r="P6" s="2">
        <v>107.9</v>
      </c>
      <c r="Q6" s="4">
        <v>0.51500000000000001</v>
      </c>
      <c r="R6" s="4">
        <v>0.47199999999999998</v>
      </c>
      <c r="S6" s="4">
        <v>0.51400000000000001</v>
      </c>
      <c r="T6" s="4">
        <v>0.56200000000000006</v>
      </c>
      <c r="U6" s="19">
        <f>Table2[[#This Row],[NET PF]]/Table2[[#This Row],[HOME GAMES]]</f>
        <v>-0.53846153846153844</v>
      </c>
      <c r="V6" s="28">
        <f>393/Table2[[#This Row],[AWAY GAMES]]</f>
        <v>2.4716981132075473</v>
      </c>
      <c r="W6" s="4">
        <v>0.67500000000000004</v>
      </c>
      <c r="X6" s="4">
        <v>0.69399999999999995</v>
      </c>
      <c r="Y6" s="2">
        <v>-63</v>
      </c>
      <c r="Z6" s="2">
        <v>299</v>
      </c>
      <c r="AA6" s="8">
        <f>Table2[[#This Row],[HOME MARGIN]]/Table2[[#This Row],[HOME GAMES]]</f>
        <v>0.96581196581196582</v>
      </c>
      <c r="AB6" s="8">
        <f>Table2[[#This Row],[AWAY MARGIN]]/Table2[[#This Row],[AWAY GAMES]]</f>
        <v>-14.786163522012579</v>
      </c>
      <c r="AC6" s="8">
        <f>Table2[[#This Row],[HOME MARGIN/GAME]]-Table2[[#This Row],[AWAY MARGIN/GAME]]</f>
        <v>15.751975487824545</v>
      </c>
      <c r="AD6" s="23">
        <f>Table2[[#This Row],[HOME W/L%]]-Table2[[#This Row],[AWAY W/L%]]</f>
        <v>0.32499999999999996</v>
      </c>
      <c r="AE6" s="22"/>
      <c r="AF6"/>
      <c r="AG6" s="12" t="s">
        <v>200</v>
      </c>
      <c r="AH6" s="10" t="s">
        <v>136</v>
      </c>
      <c r="AI6" s="10" t="s">
        <v>35</v>
      </c>
      <c r="AJ6" s="10" t="s">
        <v>47</v>
      </c>
      <c r="AK6" s="10" t="s">
        <v>154</v>
      </c>
      <c r="AL6" s="10"/>
      <c r="AM6" s="10"/>
    </row>
    <row r="7" spans="1:39" ht="16" hidden="1" customHeight="1" x14ac:dyDescent="0.2">
      <c r="A7" s="1">
        <v>324</v>
      </c>
      <c r="B7" s="1"/>
      <c r="C7" s="2" t="s">
        <v>229</v>
      </c>
      <c r="D7" s="2" t="str">
        <f>IF(COUNTIF($AG$3:$AG$20,C7)&gt;0,$AG$2,
 IF(COUNTIF($AH$3:$AH$20,C7)&gt;0,$AH$2,
 IF(COUNTIF($AI$3:$AI$20,C7)&gt;0,$AI$2,
 IF(COUNTIF($AJ$3:$AJ$20,C7)&gt;0,$AJ$2,
 IF(COUNTIF($AK$3:$AK$20,C7)&gt;0,$AK$2,
 IF(COUNTIF($AL$3:$AL$20,C7)&gt;0,$AL$2,
 IF(COUNTIF($AM$3:$AM$20,C7)&gt;0,$AM$2,"Not Found")))))))</f>
        <v>Not Found</v>
      </c>
      <c r="E7" s="2" t="s">
        <v>10</v>
      </c>
      <c r="F7" s="2" t="s">
        <v>11</v>
      </c>
      <c r="G7" s="2">
        <v>109</v>
      </c>
      <c r="H7" s="2">
        <v>303</v>
      </c>
      <c r="I7" s="2">
        <v>161</v>
      </c>
      <c r="J7" s="2">
        <v>-1907</v>
      </c>
      <c r="K7" s="4">
        <v>0.55000000000000004</v>
      </c>
      <c r="L7" s="4">
        <v>0.18</v>
      </c>
      <c r="M7" s="2">
        <v>98.3</v>
      </c>
      <c r="N7" s="2">
        <v>90.7</v>
      </c>
      <c r="O7" s="2">
        <v>94.5</v>
      </c>
      <c r="P7" s="2">
        <v>107.3</v>
      </c>
      <c r="Q7" s="4">
        <v>0.50600000000000001</v>
      </c>
      <c r="R7" s="4">
        <v>0.47599999999999998</v>
      </c>
      <c r="S7" s="4">
        <v>0.50700000000000001</v>
      </c>
      <c r="T7" s="4">
        <v>0.55900000000000005</v>
      </c>
      <c r="U7" s="19">
        <f>Table2[[#This Row],[NET PF]]/Table2[[#This Row],[HOME GAMES]]</f>
        <v>-1.2844036697247707</v>
      </c>
      <c r="V7" s="28">
        <f>393/Table2[[#This Row],[AWAY GAMES]]</f>
        <v>2.4409937888198758</v>
      </c>
      <c r="W7" s="4">
        <v>0.68</v>
      </c>
      <c r="X7" s="4">
        <v>0.69399999999999995</v>
      </c>
      <c r="Y7" s="2">
        <v>-140</v>
      </c>
      <c r="Z7" s="2">
        <v>417</v>
      </c>
      <c r="AA7" s="8">
        <f>Table2[[#This Row],[HOME MARGIN]]/Table2[[#This Row],[HOME GAMES]]</f>
        <v>2.7798165137614679</v>
      </c>
      <c r="AB7" s="8">
        <f>Table2[[#This Row],[AWAY MARGIN]]/Table2[[#This Row],[AWAY GAMES]]</f>
        <v>-11.844720496894411</v>
      </c>
      <c r="AC7" s="8">
        <f>Table2[[#This Row],[HOME MARGIN/GAME]]-Table2[[#This Row],[AWAY MARGIN/GAME]]</f>
        <v>14.624537010655878</v>
      </c>
      <c r="AD7" s="23">
        <f>Table2[[#This Row],[HOME W/L%]]-Table2[[#This Row],[AWAY W/L%]]</f>
        <v>0.37000000000000005</v>
      </c>
      <c r="AE7" s="22"/>
      <c r="AF7"/>
      <c r="AG7" s="12" t="s">
        <v>75</v>
      </c>
      <c r="AH7" s="10" t="s">
        <v>133</v>
      </c>
      <c r="AI7" s="10" t="s">
        <v>216</v>
      </c>
      <c r="AJ7" s="10" t="s">
        <v>368</v>
      </c>
      <c r="AK7" s="10" t="s">
        <v>97</v>
      </c>
      <c r="AL7" s="10"/>
      <c r="AM7" s="10"/>
    </row>
    <row r="8" spans="1:39" ht="16" hidden="1" customHeight="1" x14ac:dyDescent="0.2">
      <c r="A8" s="1">
        <v>273</v>
      </c>
      <c r="B8" s="1"/>
      <c r="C8" s="2" t="s">
        <v>128</v>
      </c>
      <c r="D8" s="2" t="str">
        <f>IF(COUNTIF($AG$3:$AG$20,C8)&gt;0,$AG$2,
 IF(COUNTIF($AH$3:$AH$20,C8)&gt;0,$AH$2,
 IF(COUNTIF($AI$3:$AI$20,C8)&gt;0,$AI$2,
 IF(COUNTIF($AJ$3:$AJ$20,C8)&gt;0,$AJ$2,
 IF(COUNTIF($AK$3:$AK$20,C8)&gt;0,$AK$2,
 IF(COUNTIF($AL$3:$AL$20,C8)&gt;0,$AL$2,
 IF(COUNTIF($AM$3:$AM$20,C8)&gt;0,$AM$2,"Not Found")))))))</f>
        <v>Not Found</v>
      </c>
      <c r="E8" s="2" t="s">
        <v>10</v>
      </c>
      <c r="F8" s="2" t="s">
        <v>11</v>
      </c>
      <c r="G8" s="2">
        <v>130</v>
      </c>
      <c r="H8" s="2">
        <v>603</v>
      </c>
      <c r="I8" s="2">
        <v>148</v>
      </c>
      <c r="J8" s="2">
        <v>-354</v>
      </c>
      <c r="K8" s="4">
        <v>0.6</v>
      </c>
      <c r="L8" s="4">
        <v>0.41899999999999998</v>
      </c>
      <c r="M8" s="2">
        <v>104.8</v>
      </c>
      <c r="N8" s="2">
        <v>99.1</v>
      </c>
      <c r="O8" s="2">
        <v>98.1</v>
      </c>
      <c r="P8" s="2">
        <v>102.5</v>
      </c>
      <c r="Q8" s="4">
        <v>0.54200000000000004</v>
      </c>
      <c r="R8" s="4">
        <v>0.52400000000000002</v>
      </c>
      <c r="S8" s="4">
        <v>0.53400000000000003</v>
      </c>
      <c r="T8" s="4">
        <v>0.54800000000000004</v>
      </c>
      <c r="U8" s="19">
        <f>Table2[[#This Row],[NET PF]]/Table2[[#This Row],[HOME GAMES]]</f>
        <v>-1.2923076923076924</v>
      </c>
      <c r="V8" s="28">
        <f>393/Table2[[#This Row],[AWAY GAMES]]</f>
        <v>2.6554054054054053</v>
      </c>
      <c r="W8" s="4">
        <v>0.70499999999999996</v>
      </c>
      <c r="X8" s="4">
        <v>0.69899999999999995</v>
      </c>
      <c r="Y8" s="2">
        <v>-168</v>
      </c>
      <c r="Z8" s="2">
        <v>156</v>
      </c>
      <c r="AA8" s="8">
        <f>Table2[[#This Row],[HOME MARGIN]]/Table2[[#This Row],[HOME GAMES]]</f>
        <v>4.6384615384615389</v>
      </c>
      <c r="AB8" s="8">
        <f>Table2[[#This Row],[AWAY MARGIN]]/Table2[[#This Row],[AWAY GAMES]]</f>
        <v>-2.3918918918918921</v>
      </c>
      <c r="AC8" s="8">
        <f>Table2[[#This Row],[HOME MARGIN/GAME]]-Table2[[#This Row],[AWAY MARGIN/GAME]]</f>
        <v>7.030353430353431</v>
      </c>
      <c r="AD8" s="23">
        <f>Table2[[#This Row],[HOME W/L%]]-Table2[[#This Row],[AWAY W/L%]]</f>
        <v>0.18099999999999999</v>
      </c>
      <c r="AE8" s="22"/>
      <c r="AF8"/>
      <c r="AG8" s="12" t="s">
        <v>176</v>
      </c>
      <c r="AH8" s="10" t="s">
        <v>78</v>
      </c>
      <c r="AI8" s="10" t="s">
        <v>88</v>
      </c>
      <c r="AJ8" s="10" t="s">
        <v>193</v>
      </c>
      <c r="AK8" s="10" t="s">
        <v>109</v>
      </c>
      <c r="AL8" s="10"/>
      <c r="AM8" s="10"/>
    </row>
    <row r="9" spans="1:39" ht="16" hidden="1" customHeight="1" x14ac:dyDescent="0.2">
      <c r="A9" s="1">
        <v>189</v>
      </c>
      <c r="B9" s="1"/>
      <c r="C9" s="2" t="s">
        <v>227</v>
      </c>
      <c r="D9" s="2" t="str">
        <f>IF(COUNTIF($AG$3:$AG$20,C9)&gt;0,$AG$2,
 IF(COUNTIF($AH$3:$AH$20,C9)&gt;0,$AH$2,
 IF(COUNTIF($AI$3:$AI$20,C9)&gt;0,$AI$2,
 IF(COUNTIF($AJ$3:$AJ$20,C9)&gt;0,$AJ$2,
 IF(COUNTIF($AK$3:$AK$20,C9)&gt;0,$AK$2,
 IF(COUNTIF($AL$3:$AL$20,C9)&gt;0,$AL$2,
 IF(COUNTIF($AM$3:$AM$20,C9)&gt;0,$AM$2,"Not Found")))))))</f>
        <v>Not Found</v>
      </c>
      <c r="E9" s="2" t="s">
        <v>10</v>
      </c>
      <c r="F9" s="2" t="s">
        <v>11</v>
      </c>
      <c r="G9" s="2">
        <v>107</v>
      </c>
      <c r="H9" s="2">
        <v>1040</v>
      </c>
      <c r="I9" s="2">
        <v>175</v>
      </c>
      <c r="J9" s="2">
        <v>-2068</v>
      </c>
      <c r="K9" s="4">
        <v>0.73799999999999999</v>
      </c>
      <c r="L9" s="4">
        <v>0.29099999999999998</v>
      </c>
      <c r="M9" s="2">
        <v>107.4</v>
      </c>
      <c r="N9" s="2">
        <v>92</v>
      </c>
      <c r="O9" s="2">
        <v>93.5</v>
      </c>
      <c r="P9" s="2">
        <v>108.8</v>
      </c>
      <c r="Q9" s="4">
        <v>0.55300000000000005</v>
      </c>
      <c r="R9" s="4">
        <v>0.48799999999999999</v>
      </c>
      <c r="S9" s="4">
        <v>0.503</v>
      </c>
      <c r="T9" s="4">
        <v>0.57099999999999995</v>
      </c>
      <c r="U9" s="19">
        <f>Table2[[#This Row],[NET PF]]/Table2[[#This Row],[HOME GAMES]]</f>
        <v>-0.57943925233644855</v>
      </c>
      <c r="V9" s="28">
        <f>393/Table2[[#This Row],[AWAY GAMES]]</f>
        <v>2.2457142857142856</v>
      </c>
      <c r="W9" s="4">
        <v>0.65800000000000003</v>
      </c>
      <c r="X9" s="4">
        <v>0.70899999999999996</v>
      </c>
      <c r="Y9" s="2">
        <v>-62</v>
      </c>
      <c r="Z9" s="2">
        <v>381</v>
      </c>
      <c r="AA9" s="8">
        <f>Table2[[#This Row],[HOME MARGIN]]/Table2[[#This Row],[HOME GAMES]]</f>
        <v>9.7196261682242984</v>
      </c>
      <c r="AB9" s="8">
        <f>Table2[[#This Row],[AWAY MARGIN]]/Table2[[#This Row],[AWAY GAMES]]</f>
        <v>-11.817142857142857</v>
      </c>
      <c r="AC9" s="8">
        <f>Table2[[#This Row],[HOME MARGIN/GAME]]-Table2[[#This Row],[AWAY MARGIN/GAME]]</f>
        <v>21.536769025367157</v>
      </c>
      <c r="AD9" s="23">
        <f>Table2[[#This Row],[HOME W/L%]]-Table2[[#This Row],[AWAY W/L%]]</f>
        <v>0.44700000000000001</v>
      </c>
      <c r="AE9" s="22"/>
      <c r="AF9"/>
      <c r="AG9" s="12" t="s">
        <v>150</v>
      </c>
      <c r="AH9" s="10" t="s">
        <v>86</v>
      </c>
      <c r="AI9" s="10" t="s">
        <v>365</v>
      </c>
      <c r="AJ9" s="10" t="s">
        <v>71</v>
      </c>
      <c r="AK9" s="10" t="s">
        <v>67</v>
      </c>
      <c r="AL9" s="10"/>
      <c r="AM9" s="10"/>
    </row>
    <row r="10" spans="1:39" ht="16" hidden="1" customHeight="1" x14ac:dyDescent="0.2">
      <c r="A10" s="1">
        <v>337</v>
      </c>
      <c r="B10" s="1"/>
      <c r="C10" s="2" t="s">
        <v>319</v>
      </c>
      <c r="D10" s="2" t="str">
        <f>IF(COUNTIF($AG$3:$AG$20,C10)&gt;0,$AG$2,
 IF(COUNTIF($AH$3:$AH$20,C10)&gt;0,$AH$2,
 IF(COUNTIF($AI$3:$AI$20,C10)&gt;0,$AI$2,
 IF(COUNTIF($AJ$3:$AJ$20,C10)&gt;0,$AJ$2,
 IF(COUNTIF($AK$3:$AK$20,C10)&gt;0,$AK$2,
 IF(COUNTIF($AL$3:$AL$20,C10)&gt;0,$AL$2,
 IF(COUNTIF($AM$3:$AM$20,C10)&gt;0,$AM$2,"Not Found")))))))</f>
        <v>Not Found</v>
      </c>
      <c r="E10" s="2" t="s">
        <v>10</v>
      </c>
      <c r="F10" s="2" t="s">
        <v>11</v>
      </c>
      <c r="G10" s="2">
        <v>121</v>
      </c>
      <c r="H10" s="2">
        <v>217</v>
      </c>
      <c r="I10" s="2">
        <v>149</v>
      </c>
      <c r="J10" s="2">
        <v>-971</v>
      </c>
      <c r="K10" s="4">
        <v>0.53700000000000003</v>
      </c>
      <c r="L10" s="4">
        <v>0.33600000000000002</v>
      </c>
      <c r="M10" s="2">
        <v>102.5</v>
      </c>
      <c r="N10" s="2">
        <v>96.3</v>
      </c>
      <c r="O10" s="2">
        <v>99.8</v>
      </c>
      <c r="P10" s="2">
        <v>106</v>
      </c>
      <c r="Q10" s="4">
        <v>0.55900000000000005</v>
      </c>
      <c r="R10" s="4">
        <v>0.52900000000000003</v>
      </c>
      <c r="S10" s="4">
        <v>0.52900000000000003</v>
      </c>
      <c r="T10" s="4">
        <v>0.56299999999999994</v>
      </c>
      <c r="U10" s="19">
        <f>Table2[[#This Row],[NET PF]]/Table2[[#This Row],[HOME GAMES]]</f>
        <v>0.11570247933884298</v>
      </c>
      <c r="V10" s="28">
        <f>393/Table2[[#This Row],[AWAY GAMES]]</f>
        <v>2.6375838926174495</v>
      </c>
      <c r="W10" s="4">
        <v>0.68300000000000005</v>
      </c>
      <c r="X10" s="4">
        <v>0.71</v>
      </c>
      <c r="Y10" s="2">
        <v>14</v>
      </c>
      <c r="Z10" s="2">
        <v>288</v>
      </c>
      <c r="AA10" s="8">
        <f>Table2[[#This Row],[HOME MARGIN]]/Table2[[#This Row],[HOME GAMES]]</f>
        <v>1.7933884297520661</v>
      </c>
      <c r="AB10" s="8">
        <f>Table2[[#This Row],[AWAY MARGIN]]/Table2[[#This Row],[AWAY GAMES]]</f>
        <v>-6.5167785234899327</v>
      </c>
      <c r="AC10" s="8">
        <f>Table2[[#This Row],[HOME MARGIN/GAME]]-Table2[[#This Row],[AWAY MARGIN/GAME]]</f>
        <v>8.3101669532419997</v>
      </c>
      <c r="AD10" s="23">
        <f>Table2[[#This Row],[HOME W/L%]]-Table2[[#This Row],[AWAY W/L%]]</f>
        <v>0.20100000000000001</v>
      </c>
      <c r="AE10" s="22"/>
      <c r="AF10"/>
      <c r="AG10" s="12" t="s">
        <v>161</v>
      </c>
      <c r="AH10" s="10" t="s">
        <v>333</v>
      </c>
      <c r="AI10" s="10" t="s">
        <v>157</v>
      </c>
      <c r="AJ10" s="10" t="s">
        <v>146</v>
      </c>
      <c r="AK10" s="10" t="s">
        <v>64</v>
      </c>
      <c r="AL10" s="10"/>
      <c r="AM10" s="10"/>
    </row>
    <row r="11" spans="1:39" ht="16" hidden="1" customHeight="1" x14ac:dyDescent="0.2">
      <c r="A11" s="1">
        <v>95</v>
      </c>
      <c r="B11" s="1"/>
      <c r="C11" s="2" t="s">
        <v>377</v>
      </c>
      <c r="D11" s="2" t="str">
        <f>IF(COUNTIF($AG$3:$AG$20,C11)&gt;0,$AG$2,
 IF(COUNTIF($AH$3:$AH$20,C11)&gt;0,$AH$2,
 IF(COUNTIF($AI$3:$AI$20,C11)&gt;0,$AI$2,
 IF(COUNTIF($AJ$3:$AJ$20,C11)&gt;0,$AJ$2,
 IF(COUNTIF($AK$3:$AK$20,C11)&gt;0,$AK$2,
 IF(COUNTIF($AL$3:$AL$20,C11)&gt;0,$AL$2,
 IF(COUNTIF($AM$3:$AM$20,C11)&gt;0,$AM$2,"Not Found")))))))</f>
        <v>Not Found</v>
      </c>
      <c r="E11" s="2" t="s">
        <v>10</v>
      </c>
      <c r="F11" s="2" t="s">
        <v>11</v>
      </c>
      <c r="G11" s="2">
        <v>142</v>
      </c>
      <c r="H11" s="2">
        <v>1555</v>
      </c>
      <c r="I11" s="2">
        <v>134</v>
      </c>
      <c r="J11" s="2">
        <v>-690</v>
      </c>
      <c r="K11" s="4">
        <v>0.67600000000000005</v>
      </c>
      <c r="L11" s="4">
        <v>0.33600000000000002</v>
      </c>
      <c r="M11" s="2">
        <v>106.8</v>
      </c>
      <c r="N11" s="2">
        <v>97.3</v>
      </c>
      <c r="O11" s="2">
        <v>91.5</v>
      </c>
      <c r="P11" s="2">
        <v>104.7</v>
      </c>
      <c r="Q11" s="4">
        <v>0.55100000000000005</v>
      </c>
      <c r="R11" s="4">
        <v>0.51100000000000001</v>
      </c>
      <c r="S11" s="4">
        <v>0.48799999999999999</v>
      </c>
      <c r="T11" s="4">
        <v>0.54100000000000004</v>
      </c>
      <c r="U11" s="19">
        <f>Table2[[#This Row],[NET PF]]/Table2[[#This Row],[HOME GAMES]]</f>
        <v>-3.612676056338028</v>
      </c>
      <c r="V11" s="28">
        <f>393/Table2[[#This Row],[AWAY GAMES]]</f>
        <v>2.9328358208955225</v>
      </c>
      <c r="W11" s="4">
        <v>0.68799999999999994</v>
      </c>
      <c r="X11" s="4">
        <v>0.71899999999999997</v>
      </c>
      <c r="Y11" s="2">
        <v>-513</v>
      </c>
      <c r="Z11" s="2">
        <v>-69</v>
      </c>
      <c r="AA11" s="8">
        <f>Table2[[#This Row],[HOME MARGIN]]/Table2[[#This Row],[HOME GAMES]]</f>
        <v>10.950704225352112</v>
      </c>
      <c r="AB11" s="8">
        <f>Table2[[#This Row],[AWAY MARGIN]]/Table2[[#This Row],[AWAY GAMES]]</f>
        <v>-5.1492537313432836</v>
      </c>
      <c r="AC11" s="8">
        <f>Table2[[#This Row],[HOME MARGIN/GAME]]-Table2[[#This Row],[AWAY MARGIN/GAME]]</f>
        <v>16.099957956695395</v>
      </c>
      <c r="AD11" s="23">
        <f>Table2[[#This Row],[HOME W/L%]]-Table2[[#This Row],[AWAY W/L%]]</f>
        <v>0.34</v>
      </c>
      <c r="AE11" s="22"/>
      <c r="AF11"/>
      <c r="AG11" s="12" t="s">
        <v>352</v>
      </c>
      <c r="AH11" s="10" t="s">
        <v>42</v>
      </c>
      <c r="AI11" s="10" t="s">
        <v>135</v>
      </c>
      <c r="AJ11" s="10" t="s">
        <v>328</v>
      </c>
      <c r="AK11" s="10" t="s">
        <v>82</v>
      </c>
      <c r="AL11" s="10"/>
      <c r="AM11" s="10"/>
    </row>
    <row r="12" spans="1:39" x14ac:dyDescent="0.2">
      <c r="A12" s="1">
        <v>4</v>
      </c>
      <c r="B12" s="17">
        <v>5</v>
      </c>
      <c r="C12" s="37" t="s">
        <v>17</v>
      </c>
      <c r="D12" s="2" t="str">
        <f>IF(COUNTIF($AG$3:$AG$20,C12)&gt;0,$AG$2,
 IF(COUNTIF($AH$3:$AH$20,C12)&gt;0,$AH$2,
 IF(COUNTIF($AI$3:$AI$20,C12)&gt;0,$AI$2,
 IF(COUNTIF($AJ$3:$AJ$20,C12)&gt;0,$AJ$2,
 IF(COUNTIF($AK$3:$AK$20,C12)&gt;0,$AK$2,
 IF(COUNTIF($AL$3:$AL$20,C12)&gt;0,$AL$2,
 IF(COUNTIF($AM$3:$AM$20,C12)&gt;0,$AM$2,"Not Found")))))))</f>
        <v>Big 12</v>
      </c>
      <c r="E12" s="2" t="s">
        <v>10</v>
      </c>
      <c r="F12" s="2" t="s">
        <v>11</v>
      </c>
      <c r="G12" s="2">
        <v>166</v>
      </c>
      <c r="H12" s="2">
        <v>2858</v>
      </c>
      <c r="I12" s="2">
        <v>106</v>
      </c>
      <c r="J12" s="2">
        <v>441</v>
      </c>
      <c r="K12" s="4">
        <v>0.86699999999999999</v>
      </c>
      <c r="L12" s="4">
        <v>0.59399999999999997</v>
      </c>
      <c r="M12" s="2">
        <v>114.9</v>
      </c>
      <c r="N12" s="2">
        <v>106.8</v>
      </c>
      <c r="O12" s="2">
        <v>90.9</v>
      </c>
      <c r="P12" s="2">
        <v>101.1</v>
      </c>
      <c r="Q12" s="4">
        <v>0.59099999999999997</v>
      </c>
      <c r="R12" s="4">
        <v>0.54800000000000004</v>
      </c>
      <c r="S12" s="4">
        <v>0.48799999999999999</v>
      </c>
      <c r="T12" s="4">
        <v>0.52900000000000003</v>
      </c>
      <c r="U12" s="19">
        <f>Table2[[#This Row],[NET PF]]/Table2[[#This Row],[HOME GAMES]]</f>
        <v>-3.6445783132530121</v>
      </c>
      <c r="V12" s="28">
        <f>393/Table2[[#This Row],[AWAY GAMES]]</f>
        <v>3.7075471698113209</v>
      </c>
      <c r="W12" s="4">
        <v>0.68400000000000005</v>
      </c>
      <c r="X12" s="4">
        <v>0.72099999999999997</v>
      </c>
      <c r="Y12" s="2">
        <v>-605</v>
      </c>
      <c r="Z12" s="2">
        <v>-13</v>
      </c>
      <c r="AA12" s="8">
        <f>Table2[[#This Row],[HOME MARGIN]]/Table2[[#This Row],[HOME GAMES]]</f>
        <v>17.216867469879517</v>
      </c>
      <c r="AB12" s="8">
        <f>Table2[[#This Row],[AWAY MARGIN]]/Table2[[#This Row],[AWAY GAMES]]</f>
        <v>4.1603773584905657</v>
      </c>
      <c r="AC12" s="8">
        <f>Table2[[#This Row],[HOME MARGIN/GAME]]-Table2[[#This Row],[AWAY MARGIN/GAME]]</f>
        <v>13.056490111388952</v>
      </c>
      <c r="AD12" s="23">
        <f>Table2[[#This Row],[HOME W/L%]]-Table2[[#This Row],[AWAY W/L%]]</f>
        <v>0.27300000000000002</v>
      </c>
      <c r="AE12" s="22"/>
      <c r="AF12"/>
      <c r="AG12" s="12" t="s">
        <v>13</v>
      </c>
      <c r="AH12" s="10" t="s">
        <v>172</v>
      </c>
      <c r="AI12" s="10" t="s">
        <v>142</v>
      </c>
      <c r="AJ12" s="10" t="s">
        <v>403</v>
      </c>
      <c r="AK12" s="10" t="s">
        <v>284</v>
      </c>
      <c r="AL12" s="10"/>
      <c r="AM12" s="10"/>
    </row>
    <row r="13" spans="1:39" x14ac:dyDescent="0.2">
      <c r="A13" s="1">
        <v>207</v>
      </c>
      <c r="B13" s="1">
        <v>67</v>
      </c>
      <c r="C13" s="2" t="s">
        <v>188</v>
      </c>
      <c r="D13" s="2" t="str">
        <f>IF(COUNTIF($AG$3:$AG$20,C13)&gt;0,$AG$2,
 IF(COUNTIF($AH$3:$AH$20,C13)&gt;0,$AH$2,
 IF(COUNTIF($AI$3:$AI$20,C13)&gt;0,$AI$2,
 IF(COUNTIF($AJ$3:$AJ$20,C13)&gt;0,$AJ$2,
 IF(COUNTIF($AK$3:$AK$20,C13)&gt;0,$AK$2,
 IF(COUNTIF($AL$3:$AL$20,C13)&gt;0,$AL$2,
 IF(COUNTIF($AM$3:$AM$20,C13)&gt;0,$AM$2,"Not Found")))))))</f>
        <v>Big 12</v>
      </c>
      <c r="E13" s="2" t="s">
        <v>10</v>
      </c>
      <c r="F13" s="2" t="s">
        <v>11</v>
      </c>
      <c r="G13" s="2">
        <v>154</v>
      </c>
      <c r="H13" s="2">
        <v>935</v>
      </c>
      <c r="I13" s="2">
        <v>109</v>
      </c>
      <c r="J13" s="2">
        <v>-581</v>
      </c>
      <c r="K13" s="4">
        <v>0.64900000000000002</v>
      </c>
      <c r="L13" s="4">
        <v>0.39400000000000002</v>
      </c>
      <c r="M13" s="2">
        <v>104</v>
      </c>
      <c r="N13" s="2">
        <v>98.5</v>
      </c>
      <c r="O13" s="2">
        <v>95.8</v>
      </c>
      <c r="P13" s="2">
        <v>105.9</v>
      </c>
      <c r="Q13" s="4">
        <v>0.54100000000000004</v>
      </c>
      <c r="R13" s="4">
        <v>0.51700000000000002</v>
      </c>
      <c r="S13" s="4">
        <v>0.51400000000000001</v>
      </c>
      <c r="T13" s="4">
        <v>0.56299999999999994</v>
      </c>
      <c r="U13" s="19">
        <f>Table2[[#This Row],[NET PF]]/Table2[[#This Row],[HOME GAMES]]</f>
        <v>-2.0259740259740258</v>
      </c>
      <c r="V13" s="28">
        <f>393/Table2[[#This Row],[AWAY GAMES]]</f>
        <v>3.6055045871559632</v>
      </c>
      <c r="W13" s="4">
        <v>0.71099999999999997</v>
      </c>
      <c r="X13" s="4">
        <v>0.72</v>
      </c>
      <c r="Y13" s="2">
        <v>-312</v>
      </c>
      <c r="Z13" s="2">
        <v>224</v>
      </c>
      <c r="AA13" s="8">
        <f>Table2[[#This Row],[HOME MARGIN]]/Table2[[#This Row],[HOME GAMES]]</f>
        <v>6.0714285714285712</v>
      </c>
      <c r="AB13" s="8">
        <f>Table2[[#This Row],[AWAY MARGIN]]/Table2[[#This Row],[AWAY GAMES]]</f>
        <v>-5.330275229357798</v>
      </c>
      <c r="AC13" s="8">
        <f>Table2[[#This Row],[HOME MARGIN/GAME]]-Table2[[#This Row],[AWAY MARGIN/GAME]]</f>
        <v>11.401703800786368</v>
      </c>
      <c r="AD13" s="23">
        <f>Table2[[#This Row],[HOME W/L%]]-Table2[[#This Row],[AWAY W/L%]]</f>
        <v>0.255</v>
      </c>
      <c r="AE13" s="22"/>
      <c r="AF13"/>
      <c r="AG13" s="12" t="s">
        <v>38</v>
      </c>
      <c r="AH13" s="10" t="s">
        <v>183</v>
      </c>
      <c r="AI13" s="10" t="s">
        <v>303</v>
      </c>
      <c r="AJ13" s="10" t="s">
        <v>129</v>
      </c>
      <c r="AK13" s="10" t="s">
        <v>179</v>
      </c>
      <c r="AL13" s="10"/>
      <c r="AM13" s="10"/>
    </row>
    <row r="14" spans="1:39" x14ac:dyDescent="0.2">
      <c r="A14" s="1">
        <v>36</v>
      </c>
      <c r="B14" s="1">
        <v>26</v>
      </c>
      <c r="C14" s="2" t="s">
        <v>129</v>
      </c>
      <c r="D14" s="2" t="str">
        <f>IF(COUNTIF($AG$3:$AG$20,C14)&gt;0,$AG$2,
 IF(COUNTIF($AH$3:$AH$20,C14)&gt;0,$AH$2,
 IF(COUNTIF($AI$3:$AI$20,C14)&gt;0,$AI$2,
 IF(COUNTIF($AJ$3:$AJ$20,C14)&gt;0,$AJ$2,
 IF(COUNTIF($AK$3:$AK$20,C14)&gt;0,$AK$2,
 IF(COUNTIF($AL$3:$AL$20,C14)&gt;0,$AL$2,
 IF(COUNTIF($AM$3:$AM$20,C14)&gt;0,$AM$2,"Not Found")))))))</f>
        <v>SEC</v>
      </c>
      <c r="E14" s="2" t="s">
        <v>10</v>
      </c>
      <c r="F14" s="2" t="s">
        <v>11</v>
      </c>
      <c r="G14" s="2">
        <v>176</v>
      </c>
      <c r="H14" s="2">
        <v>2063</v>
      </c>
      <c r="I14" s="2">
        <v>102</v>
      </c>
      <c r="J14" s="2">
        <v>-355</v>
      </c>
      <c r="K14" s="4">
        <v>0.80700000000000005</v>
      </c>
      <c r="L14" s="4">
        <v>0.373</v>
      </c>
      <c r="M14" s="2">
        <v>109.3</v>
      </c>
      <c r="N14" s="2">
        <v>101.6</v>
      </c>
      <c r="O14" s="2">
        <v>93.4</v>
      </c>
      <c r="P14" s="2">
        <v>106.4</v>
      </c>
      <c r="Q14" s="4">
        <v>0.56499999999999995</v>
      </c>
      <c r="R14" s="4">
        <v>0.53300000000000003</v>
      </c>
      <c r="S14" s="4">
        <v>0.504</v>
      </c>
      <c r="T14" s="4">
        <v>0.55700000000000005</v>
      </c>
      <c r="U14" s="19">
        <f>Table2[[#This Row],[NET PF]]/Table2[[#This Row],[HOME GAMES]]</f>
        <v>-2.1761363636363638</v>
      </c>
      <c r="V14" s="28">
        <f>393/Table2[[#This Row],[AWAY GAMES]]</f>
        <v>3.8529411764705883</v>
      </c>
      <c r="W14" s="4">
        <v>0.69299999999999995</v>
      </c>
      <c r="X14" s="4">
        <v>0.73199999999999998</v>
      </c>
      <c r="Y14" s="2">
        <v>-383</v>
      </c>
      <c r="Z14" s="2">
        <v>228</v>
      </c>
      <c r="AA14" s="8">
        <f>Table2[[#This Row],[HOME MARGIN]]/Table2[[#This Row],[HOME GAMES]]</f>
        <v>11.721590909090908</v>
      </c>
      <c r="AB14" s="8">
        <f>Table2[[#This Row],[AWAY MARGIN]]/Table2[[#This Row],[AWAY GAMES]]</f>
        <v>-3.4803921568627452</v>
      </c>
      <c r="AC14" s="8">
        <f>Table2[[#This Row],[HOME MARGIN/GAME]]-Table2[[#This Row],[AWAY MARGIN/GAME]]</f>
        <v>15.201983065953653</v>
      </c>
      <c r="AD14" s="23">
        <f>Table2[[#This Row],[HOME W/L%]]-Table2[[#This Row],[AWAY W/L%]]</f>
        <v>0.43400000000000005</v>
      </c>
      <c r="AE14" s="22"/>
      <c r="AF14"/>
      <c r="AG14" s="12" t="s">
        <v>49</v>
      </c>
      <c r="AH14" s="10" t="s">
        <v>80</v>
      </c>
      <c r="AI14" s="10" t="s">
        <v>155</v>
      </c>
      <c r="AJ14" s="10" t="s">
        <v>190</v>
      </c>
      <c r="AK14" s="10"/>
      <c r="AL14" s="10"/>
      <c r="AM14" s="10"/>
    </row>
    <row r="15" spans="1:39" ht="16" hidden="1" customHeight="1" x14ac:dyDescent="0.2">
      <c r="A15" s="1">
        <v>183</v>
      </c>
      <c r="B15" s="1"/>
      <c r="C15" s="2" t="s">
        <v>347</v>
      </c>
      <c r="D15" s="2" t="str">
        <f>IF(COUNTIF($AG$3:$AG$20,C15)&gt;0,$AG$2,
 IF(COUNTIF($AH$3:$AH$20,C15)&gt;0,$AH$2,
 IF(COUNTIF($AI$3:$AI$20,C15)&gt;0,$AI$2,
 IF(COUNTIF($AJ$3:$AJ$20,C15)&gt;0,$AJ$2,
 IF(COUNTIF($AK$3:$AK$20,C15)&gt;0,$AK$2,
 IF(COUNTIF($AL$3:$AL$20,C15)&gt;0,$AL$2,
 IF(COUNTIF($AM$3:$AM$20,C15)&gt;0,$AM$2,"Not Found")))))))</f>
        <v>Not Found</v>
      </c>
      <c r="E15" s="2" t="s">
        <v>10</v>
      </c>
      <c r="F15" s="2" t="s">
        <v>11</v>
      </c>
      <c r="G15" s="2">
        <v>145</v>
      </c>
      <c r="H15" s="2">
        <v>1064</v>
      </c>
      <c r="I15" s="2">
        <v>142</v>
      </c>
      <c r="J15" s="2">
        <v>-812</v>
      </c>
      <c r="K15" s="4">
        <v>0.69699999999999995</v>
      </c>
      <c r="L15" s="4">
        <v>0.30299999999999999</v>
      </c>
      <c r="M15" s="2">
        <v>108.8</v>
      </c>
      <c r="N15" s="2">
        <v>98.1</v>
      </c>
      <c r="O15" s="2">
        <v>98.5</v>
      </c>
      <c r="P15" s="2">
        <v>106.1</v>
      </c>
      <c r="Q15" s="4">
        <v>0.55700000000000005</v>
      </c>
      <c r="R15" s="4">
        <v>0.51400000000000001</v>
      </c>
      <c r="S15" s="4">
        <v>0.52</v>
      </c>
      <c r="T15" s="4">
        <v>0.54800000000000004</v>
      </c>
      <c r="U15" s="19">
        <f>Table2[[#This Row],[NET PF]]/Table2[[#This Row],[HOME GAMES]]</f>
        <v>-1.7724137931034483</v>
      </c>
      <c r="V15" s="28">
        <f>393/Table2[[#This Row],[AWAY GAMES]]</f>
        <v>2.767605633802817</v>
      </c>
      <c r="W15" s="4">
        <v>0.71299999999999997</v>
      </c>
      <c r="X15" s="4">
        <v>0.72099999999999997</v>
      </c>
      <c r="Y15" s="2">
        <v>-257</v>
      </c>
      <c r="Z15" s="2">
        <v>225</v>
      </c>
      <c r="AA15" s="8">
        <f>Table2[[#This Row],[HOME MARGIN]]/Table2[[#This Row],[HOME GAMES]]</f>
        <v>7.3379310344827582</v>
      </c>
      <c r="AB15" s="8">
        <f>Table2[[#This Row],[AWAY MARGIN]]/Table2[[#This Row],[AWAY GAMES]]</f>
        <v>-5.71830985915493</v>
      </c>
      <c r="AC15" s="8">
        <f>Table2[[#This Row],[HOME MARGIN/GAME]]-Table2[[#This Row],[AWAY MARGIN/GAME]]</f>
        <v>13.056240893637689</v>
      </c>
      <c r="AD15" s="23">
        <f>Table2[[#This Row],[HOME W/L%]]-Table2[[#This Row],[AWAY W/L%]]</f>
        <v>0.39399999999999996</v>
      </c>
      <c r="AE15" s="22"/>
      <c r="AF15"/>
      <c r="AG15" s="12" t="s">
        <v>170</v>
      </c>
      <c r="AH15" s="10" t="s">
        <v>315</v>
      </c>
      <c r="AI15" s="10" t="s">
        <v>140</v>
      </c>
      <c r="AJ15" s="10" t="s">
        <v>84</v>
      </c>
      <c r="AL15" s="10"/>
      <c r="AM15" s="10"/>
    </row>
    <row r="16" spans="1:39" ht="16" hidden="1" customHeight="1" x14ac:dyDescent="0.2">
      <c r="A16" s="1">
        <v>312</v>
      </c>
      <c r="B16" s="1"/>
      <c r="C16" s="2" t="s">
        <v>219</v>
      </c>
      <c r="D16" s="2" t="str">
        <f>IF(COUNTIF($AG$3:$AG$20,C16)&gt;0,$AG$2,
 IF(COUNTIF($AH$3:$AH$20,C16)&gt;0,$AH$2,
 IF(COUNTIF($AI$3:$AI$20,C16)&gt;0,$AI$2,
 IF(COUNTIF($AJ$3:$AJ$20,C16)&gt;0,$AJ$2,
 IF(COUNTIF($AK$3:$AK$20,C16)&gt;0,$AK$2,
 IF(COUNTIF($AL$3:$AL$20,C16)&gt;0,$AL$2,
 IF(COUNTIF($AM$3:$AM$20,C16)&gt;0,$AM$2,"Not Found")))))))</f>
        <v>Not Found</v>
      </c>
      <c r="E16" s="2" t="s">
        <v>10</v>
      </c>
      <c r="F16" s="2" t="s">
        <v>11</v>
      </c>
      <c r="G16" s="2">
        <v>106</v>
      </c>
      <c r="H16" s="2">
        <v>388</v>
      </c>
      <c r="I16" s="2">
        <v>192</v>
      </c>
      <c r="J16" s="2">
        <v>-3101</v>
      </c>
      <c r="K16" s="4">
        <v>0.49099999999999999</v>
      </c>
      <c r="L16" s="4">
        <v>0.156</v>
      </c>
      <c r="M16" s="2">
        <v>99.7</v>
      </c>
      <c r="N16" s="2">
        <v>87.3</v>
      </c>
      <c r="O16" s="2">
        <v>94.6</v>
      </c>
      <c r="P16" s="2">
        <v>110.1</v>
      </c>
      <c r="Q16" s="4">
        <v>0.54200000000000004</v>
      </c>
      <c r="R16" s="4">
        <v>0.49199999999999999</v>
      </c>
      <c r="S16" s="4">
        <v>0.51700000000000002</v>
      </c>
      <c r="T16" s="4">
        <v>0.56999999999999995</v>
      </c>
      <c r="U16" s="19">
        <f>Table2[[#This Row],[NET PF]]/Table2[[#This Row],[HOME GAMES]]</f>
        <v>0.8867924528301887</v>
      </c>
      <c r="V16" s="28">
        <f>393/Table2[[#This Row],[AWAY GAMES]]</f>
        <v>2.046875</v>
      </c>
      <c r="W16" s="4">
        <v>0.68</v>
      </c>
      <c r="X16" s="4">
        <v>0.70699999999999996</v>
      </c>
      <c r="Y16" s="2">
        <v>94</v>
      </c>
      <c r="Z16" s="2">
        <v>653</v>
      </c>
      <c r="AA16" s="8">
        <f>Table2[[#This Row],[HOME MARGIN]]/Table2[[#This Row],[HOME GAMES]]</f>
        <v>3.6603773584905661</v>
      </c>
      <c r="AB16" s="8">
        <f>Table2[[#This Row],[AWAY MARGIN]]/Table2[[#This Row],[AWAY GAMES]]</f>
        <v>-16.151041666666668</v>
      </c>
      <c r="AC16" s="8">
        <f>Table2[[#This Row],[HOME MARGIN/GAME]]-Table2[[#This Row],[AWAY MARGIN/GAME]]</f>
        <v>19.811419025157235</v>
      </c>
      <c r="AD16" s="23">
        <f>Table2[[#This Row],[HOME W/L%]]-Table2[[#This Row],[AWAY W/L%]]</f>
        <v>0.33499999999999996</v>
      </c>
      <c r="AE16" s="22"/>
      <c r="AF16"/>
      <c r="AG16" s="12" t="s">
        <v>17</v>
      </c>
      <c r="AH16" s="10" t="s">
        <v>304</v>
      </c>
      <c r="AI16" s="10" t="s">
        <v>111</v>
      </c>
      <c r="AJ16" s="10" t="s">
        <v>346</v>
      </c>
      <c r="AL16" s="10"/>
      <c r="AM16" s="10"/>
    </row>
    <row r="17" spans="1:39" ht="16" hidden="1" customHeight="1" x14ac:dyDescent="0.2">
      <c r="A17" s="1">
        <v>267</v>
      </c>
      <c r="B17" s="1"/>
      <c r="C17" s="2" t="s">
        <v>383</v>
      </c>
      <c r="D17" s="2" t="str">
        <f>IF(COUNTIF($AG$3:$AG$20,C17)&gt;0,$AG$2,
 IF(COUNTIF($AH$3:$AH$20,C17)&gt;0,$AH$2,
 IF(COUNTIF($AI$3:$AI$20,C17)&gt;0,$AI$2,
 IF(COUNTIF($AJ$3:$AJ$20,C17)&gt;0,$AJ$2,
 IF(COUNTIF($AK$3:$AK$20,C17)&gt;0,$AK$2,
 IF(COUNTIF($AL$3:$AL$20,C17)&gt;0,$AL$2,
 IF(COUNTIF($AM$3:$AM$20,C17)&gt;0,$AM$2,"Not Found")))))))</f>
        <v>Not Found</v>
      </c>
      <c r="E17" s="2" t="s">
        <v>10</v>
      </c>
      <c r="F17" s="2" t="s">
        <v>11</v>
      </c>
      <c r="G17" s="2">
        <v>137</v>
      </c>
      <c r="H17" s="2">
        <v>640</v>
      </c>
      <c r="I17" s="2">
        <v>141</v>
      </c>
      <c r="J17" s="2">
        <v>-669</v>
      </c>
      <c r="K17" s="4">
        <v>0.58399999999999996</v>
      </c>
      <c r="L17" s="4">
        <v>0.36899999999999999</v>
      </c>
      <c r="M17" s="2">
        <v>103.8</v>
      </c>
      <c r="N17" s="2">
        <v>97</v>
      </c>
      <c r="O17" s="2">
        <v>97.2</v>
      </c>
      <c r="P17" s="2">
        <v>103.7</v>
      </c>
      <c r="Q17" s="4">
        <v>0.54500000000000004</v>
      </c>
      <c r="R17" s="4">
        <v>0.51800000000000002</v>
      </c>
      <c r="S17" s="4">
        <v>0.51900000000000002</v>
      </c>
      <c r="T17" s="4">
        <v>0.55100000000000005</v>
      </c>
      <c r="U17" s="19">
        <f>Table2[[#This Row],[NET PF]]/Table2[[#This Row],[HOME GAMES]]</f>
        <v>-5.1094890510948905E-2</v>
      </c>
      <c r="V17" s="28">
        <f>393/Table2[[#This Row],[AWAY GAMES]]</f>
        <v>2.7872340425531914</v>
      </c>
      <c r="W17" s="4">
        <v>0.68899999999999995</v>
      </c>
      <c r="X17" s="4">
        <v>0.69399999999999995</v>
      </c>
      <c r="Y17" s="2">
        <v>-7</v>
      </c>
      <c r="Z17" s="2">
        <v>151</v>
      </c>
      <c r="AA17" s="8">
        <f>Table2[[#This Row],[HOME MARGIN]]/Table2[[#This Row],[HOME GAMES]]</f>
        <v>4.6715328467153281</v>
      </c>
      <c r="AB17" s="8">
        <f>Table2[[#This Row],[AWAY MARGIN]]/Table2[[#This Row],[AWAY GAMES]]</f>
        <v>-4.7446808510638299</v>
      </c>
      <c r="AC17" s="8">
        <f>Table2[[#This Row],[HOME MARGIN/GAME]]-Table2[[#This Row],[AWAY MARGIN/GAME]]</f>
        <v>9.416213697779158</v>
      </c>
      <c r="AD17" s="23">
        <f>Table2[[#This Row],[HOME W/L%]]-Table2[[#This Row],[AWAY W/L%]]</f>
        <v>0.21499999999999997</v>
      </c>
      <c r="AE17" s="22"/>
      <c r="AF17"/>
      <c r="AG17" s="12" t="s">
        <v>188</v>
      </c>
      <c r="AH17" s="10" t="s">
        <v>57</v>
      </c>
      <c r="AI17" s="10" t="s">
        <v>210</v>
      </c>
      <c r="AJ17" s="10" t="s">
        <v>118</v>
      </c>
      <c r="AK17" s="10"/>
      <c r="AL17" s="10"/>
      <c r="AM17" s="10"/>
    </row>
    <row r="18" spans="1:39" x14ac:dyDescent="0.2">
      <c r="A18" s="1">
        <v>32</v>
      </c>
      <c r="B18" s="1">
        <v>18</v>
      </c>
      <c r="C18" s="2" t="s">
        <v>71</v>
      </c>
      <c r="D18" s="2" t="str">
        <f>IF(COUNTIF($AG$3:$AG$20,C18)&gt;0,$AG$2,
 IF(COUNTIF($AH$3:$AH$20,C18)&gt;0,$AH$2,
 IF(COUNTIF($AI$3:$AI$20,C18)&gt;0,$AI$2,
 IF(COUNTIF($AJ$3:$AJ$20,C18)&gt;0,$AJ$2,
 IF(COUNTIF($AK$3:$AK$20,C18)&gt;0,$AK$2,
 IF(COUNTIF($AL$3:$AL$20,C18)&gt;0,$AL$2,
 IF(COUNTIF($AM$3:$AM$20,C18)&gt;0,$AM$2,"Not Found")))))))</f>
        <v>SEC</v>
      </c>
      <c r="E18" s="2" t="s">
        <v>10</v>
      </c>
      <c r="F18" s="2" t="s">
        <v>11</v>
      </c>
      <c r="G18" s="2">
        <v>156</v>
      </c>
      <c r="H18" s="2">
        <v>2080</v>
      </c>
      <c r="I18" s="2">
        <v>110</v>
      </c>
      <c r="J18" s="2">
        <v>-87</v>
      </c>
      <c r="K18" s="4">
        <v>0.83299999999999996</v>
      </c>
      <c r="L18" s="4">
        <v>0.47299999999999998</v>
      </c>
      <c r="M18" s="2">
        <v>112.4</v>
      </c>
      <c r="N18" s="2">
        <v>101.7</v>
      </c>
      <c r="O18" s="2">
        <v>94.3</v>
      </c>
      <c r="P18" s="2">
        <v>102.8</v>
      </c>
      <c r="Q18" s="4">
        <v>0.57299999999999995</v>
      </c>
      <c r="R18" s="4">
        <v>0.52100000000000002</v>
      </c>
      <c r="S18" s="4">
        <v>0.505</v>
      </c>
      <c r="T18" s="4">
        <v>0.53300000000000003</v>
      </c>
      <c r="U18" s="19">
        <f>Table2[[#This Row],[NET PF]]/Table2[[#This Row],[HOME GAMES]]</f>
        <v>-1.9871794871794872</v>
      </c>
      <c r="V18" s="28">
        <f>393/Table2[[#This Row],[AWAY GAMES]]</f>
        <v>3.5727272727272728</v>
      </c>
      <c r="W18" s="4">
        <v>0.72</v>
      </c>
      <c r="X18" s="4">
        <v>0.71499999999999997</v>
      </c>
      <c r="Y18" s="2">
        <v>-310</v>
      </c>
      <c r="Z18" s="2">
        <v>226</v>
      </c>
      <c r="AA18" s="8">
        <f>Table2[[#This Row],[HOME MARGIN]]/Table2[[#This Row],[HOME GAMES]]</f>
        <v>13.333333333333334</v>
      </c>
      <c r="AB18" s="8">
        <f>Table2[[#This Row],[AWAY MARGIN]]/Table2[[#This Row],[AWAY GAMES]]</f>
        <v>-0.79090909090909089</v>
      </c>
      <c r="AC18" s="8">
        <f>Table2[[#This Row],[HOME MARGIN/GAME]]-Table2[[#This Row],[AWAY MARGIN/GAME]]</f>
        <v>14.124242424242425</v>
      </c>
      <c r="AD18" s="23">
        <f>Table2[[#This Row],[HOME W/L%]]-Table2[[#This Row],[AWAY W/L%]]</f>
        <v>0.36</v>
      </c>
      <c r="AE18" s="22"/>
      <c r="AF18"/>
      <c r="AG18" s="12" t="s">
        <v>205</v>
      </c>
      <c r="AH18" s="10" t="s">
        <v>87</v>
      </c>
      <c r="AI18" s="10" t="s">
        <v>404</v>
      </c>
      <c r="AJ18" s="10" t="s">
        <v>202</v>
      </c>
      <c r="AL18" s="10"/>
      <c r="AM18" s="10"/>
    </row>
    <row r="19" spans="1:39" ht="16" hidden="1" customHeight="1" x14ac:dyDescent="0.2">
      <c r="A19" s="1">
        <v>147</v>
      </c>
      <c r="B19" s="1"/>
      <c r="C19" s="2" t="s">
        <v>283</v>
      </c>
      <c r="D19" s="2" t="str">
        <f>IF(COUNTIF($AG$3:$AG$20,C19)&gt;0,$AG$2,
 IF(COUNTIF($AH$3:$AH$20,C19)&gt;0,$AH$2,
 IF(COUNTIF($AI$3:$AI$20,C19)&gt;0,$AI$2,
 IF(COUNTIF($AJ$3:$AJ$20,C19)&gt;0,$AJ$2,
 IF(COUNTIF($AK$3:$AK$20,C19)&gt;0,$AK$2,
 IF(COUNTIF($AL$3:$AL$20,C19)&gt;0,$AL$2,
 IF(COUNTIF($AM$3:$AM$20,C19)&gt;0,$AM$2,"Not Found")))))))</f>
        <v>Not Found</v>
      </c>
      <c r="E19" s="2" t="s">
        <v>10</v>
      </c>
      <c r="F19" s="2" t="s">
        <v>11</v>
      </c>
      <c r="G19" s="2">
        <v>136</v>
      </c>
      <c r="H19" s="2">
        <v>1262</v>
      </c>
      <c r="I19" s="2">
        <v>147</v>
      </c>
      <c r="J19" s="2">
        <v>-1168</v>
      </c>
      <c r="K19" s="4">
        <v>0.66200000000000003</v>
      </c>
      <c r="L19" s="4">
        <v>0.32700000000000001</v>
      </c>
      <c r="M19" s="2">
        <v>111.7</v>
      </c>
      <c r="N19" s="2">
        <v>98</v>
      </c>
      <c r="O19" s="2">
        <v>98.6</v>
      </c>
      <c r="P19" s="2">
        <v>109.4</v>
      </c>
      <c r="Q19" s="4">
        <v>0.56599999999999995</v>
      </c>
      <c r="R19" s="4">
        <v>0.51600000000000001</v>
      </c>
      <c r="S19" s="4">
        <v>0.54400000000000004</v>
      </c>
      <c r="T19" s="4">
        <v>0.57799999999999996</v>
      </c>
      <c r="U19" s="19">
        <f>Table2[[#This Row],[NET PF]]/Table2[[#This Row],[HOME GAMES]]</f>
        <v>-1.588235294117647</v>
      </c>
      <c r="V19" s="28">
        <f>393/Table2[[#This Row],[AWAY GAMES]]</f>
        <v>2.6734693877551021</v>
      </c>
      <c r="W19" s="19">
        <v>0.69399999999999995</v>
      </c>
      <c r="X19" s="19">
        <v>0.72399999999999998</v>
      </c>
      <c r="Y19" s="2">
        <v>-216</v>
      </c>
      <c r="Z19" s="2">
        <v>90</v>
      </c>
      <c r="AA19" s="8">
        <f>Table2[[#This Row],[HOME MARGIN]]/Table2[[#This Row],[HOME GAMES]]</f>
        <v>9.2794117647058822</v>
      </c>
      <c r="AB19" s="8">
        <f>Table2[[#This Row],[AWAY MARGIN]]/Table2[[#This Row],[AWAY GAMES]]</f>
        <v>-7.9455782312925169</v>
      </c>
      <c r="AC19" s="8">
        <f>Table2[[#This Row],[HOME MARGIN/GAME]]-Table2[[#This Row],[AWAY MARGIN/GAME]]</f>
        <v>17.224989995998399</v>
      </c>
      <c r="AD19" s="23">
        <f>Table2[[#This Row],[HOME W/L%]]-Table2[[#This Row],[AWAY W/L%]]</f>
        <v>0.33500000000000002</v>
      </c>
      <c r="AE19" s="22"/>
      <c r="AF19"/>
      <c r="AH19" s="10" t="s">
        <v>69</v>
      </c>
      <c r="AI19" s="10" t="s">
        <v>370</v>
      </c>
      <c r="AL19" s="10"/>
      <c r="AM19" s="10"/>
    </row>
    <row r="20" spans="1:39" ht="16" hidden="1" customHeight="1" x14ac:dyDescent="0.2">
      <c r="A20" s="1">
        <v>163</v>
      </c>
      <c r="B20" s="1"/>
      <c r="C20" s="2" t="s">
        <v>138</v>
      </c>
      <c r="D20" s="2" t="str">
        <f>IF(COUNTIF($AG$3:$AG$20,C20)&gt;0,$AG$2,
 IF(COUNTIF($AH$3:$AH$20,C20)&gt;0,$AH$2,
 IF(COUNTIF($AI$3:$AI$20,C20)&gt;0,$AI$2,
 IF(COUNTIF($AJ$3:$AJ$20,C20)&gt;0,$AJ$2,
 IF(COUNTIF($AK$3:$AK$20,C20)&gt;0,$AK$2,
 IF(COUNTIF($AL$3:$AL$20,C20)&gt;0,$AL$2,
 IF(COUNTIF($AM$3:$AM$20,C20)&gt;0,$AM$2,"Not Found")))))))</f>
        <v>Not Found</v>
      </c>
      <c r="E20" s="2" t="s">
        <v>10</v>
      </c>
      <c r="F20" s="2" t="s">
        <v>11</v>
      </c>
      <c r="G20" s="2">
        <v>148</v>
      </c>
      <c r="H20" s="2">
        <v>1196</v>
      </c>
      <c r="I20" s="2">
        <v>130</v>
      </c>
      <c r="J20" s="2">
        <v>-381</v>
      </c>
      <c r="K20" s="4">
        <v>0.67600000000000005</v>
      </c>
      <c r="L20" s="4">
        <v>0.4</v>
      </c>
      <c r="M20" s="2">
        <v>108.5</v>
      </c>
      <c r="N20" s="2">
        <v>99.1</v>
      </c>
      <c r="O20" s="2">
        <v>97.1</v>
      </c>
      <c r="P20" s="2">
        <v>103.1</v>
      </c>
      <c r="Q20" s="4">
        <v>0.56999999999999995</v>
      </c>
      <c r="R20" s="4">
        <v>0.54200000000000004</v>
      </c>
      <c r="S20" s="4">
        <v>0.51200000000000001</v>
      </c>
      <c r="T20" s="4">
        <v>0.53100000000000003</v>
      </c>
      <c r="U20" s="19">
        <f>Table2[[#This Row],[NET PF]]/Table2[[#This Row],[HOME GAMES]]</f>
        <v>-3.5270270270270272</v>
      </c>
      <c r="V20" s="28">
        <f>393/Table2[[#This Row],[AWAY GAMES]]</f>
        <v>3.023076923076923</v>
      </c>
      <c r="W20" s="19">
        <v>0.71199999999999997</v>
      </c>
      <c r="X20" s="19">
        <v>0.71399999999999997</v>
      </c>
      <c r="Y20" s="2">
        <v>-522</v>
      </c>
      <c r="Z20" s="2">
        <v>80</v>
      </c>
      <c r="AA20" s="8">
        <f>Table2[[#This Row],[HOME MARGIN]]/Table2[[#This Row],[HOME GAMES]]</f>
        <v>8.0810810810810807</v>
      </c>
      <c r="AB20" s="8">
        <f>Table2[[#This Row],[AWAY MARGIN]]/Table2[[#This Row],[AWAY GAMES]]</f>
        <v>-2.9307692307692306</v>
      </c>
      <c r="AC20" s="8">
        <f>Table2[[#This Row],[HOME MARGIN/GAME]]-Table2[[#This Row],[AWAY MARGIN/GAME]]</f>
        <v>11.011850311850312</v>
      </c>
      <c r="AD20" s="23">
        <f>Table2[[#This Row],[HOME W/L%]]-Table2[[#This Row],[AWAY W/L%]]</f>
        <v>0.27600000000000002</v>
      </c>
      <c r="AE20" s="22"/>
      <c r="AF20"/>
      <c r="AH20" s="10" t="s">
        <v>362</v>
      </c>
      <c r="AI20" s="10" t="s">
        <v>281</v>
      </c>
      <c r="AK20" s="10"/>
      <c r="AL20" s="10"/>
      <c r="AM20" s="10"/>
    </row>
    <row r="21" spans="1:39" x14ac:dyDescent="0.2">
      <c r="A21" s="1">
        <v>8</v>
      </c>
      <c r="B21" s="17">
        <v>6</v>
      </c>
      <c r="C21" s="2" t="s">
        <v>60</v>
      </c>
      <c r="D21" s="2" t="str">
        <f>IF(COUNTIF($AG$3:$AG$20,C21)&gt;0,$AG$2,
 IF(COUNTIF($AH$3:$AH$20,C21)&gt;0,$AH$2,
 IF(COUNTIF($AI$3:$AI$20,C21)&gt;0,$AI$2,
 IF(COUNTIF($AJ$3:$AJ$20,C21)&gt;0,$AJ$2,
 IF(COUNTIF($AK$3:$AK$20,C21)&gt;0,$AK$2,
 IF(COUNTIF($AL$3:$AL$20,C21)&gt;0,$AL$2,
 IF(COUNTIF($AM$3:$AM$20,C21)&gt;0,$AM$2,"Not Found")))))))</f>
        <v>Big 12</v>
      </c>
      <c r="E21" s="2" t="s">
        <v>10</v>
      </c>
      <c r="F21" s="2" t="s">
        <v>11</v>
      </c>
      <c r="G21" s="2">
        <v>166</v>
      </c>
      <c r="H21" s="2">
        <v>2662</v>
      </c>
      <c r="I21" s="2">
        <v>103</v>
      </c>
      <c r="J21" s="2">
        <v>-23</v>
      </c>
      <c r="K21" s="4">
        <v>0.83699999999999997</v>
      </c>
      <c r="L21" s="4">
        <v>0.52400000000000002</v>
      </c>
      <c r="M21" s="2">
        <v>114.5</v>
      </c>
      <c r="N21" s="2">
        <v>104.6</v>
      </c>
      <c r="O21" s="2">
        <v>91.5</v>
      </c>
      <c r="P21" s="2">
        <v>104.9</v>
      </c>
      <c r="Q21" s="4">
        <v>0.57499999999999996</v>
      </c>
      <c r="R21" s="4">
        <v>0.53700000000000003</v>
      </c>
      <c r="S21" s="4">
        <v>0.5</v>
      </c>
      <c r="T21" s="4">
        <v>0.54700000000000004</v>
      </c>
      <c r="U21" s="19">
        <f>Table2[[#This Row],[NET PF]]/Table2[[#This Row],[HOME GAMES]]</f>
        <v>-2.6445783132530121</v>
      </c>
      <c r="V21" s="28">
        <f>393/Table2[[#This Row],[AWAY GAMES]]</f>
        <v>3.8155339805825244</v>
      </c>
      <c r="W21" s="4">
        <v>0.68799999999999994</v>
      </c>
      <c r="X21" s="4">
        <v>0.70799999999999996</v>
      </c>
      <c r="Y21" s="2">
        <v>-439</v>
      </c>
      <c r="Z21" s="2">
        <v>234</v>
      </c>
      <c r="AA21" s="8">
        <f>Table2[[#This Row],[HOME MARGIN]]/Table2[[#This Row],[HOME GAMES]]</f>
        <v>16.036144578313252</v>
      </c>
      <c r="AB21" s="8">
        <f>Table2[[#This Row],[AWAY MARGIN]]/Table2[[#This Row],[AWAY GAMES]]</f>
        <v>-0.22330097087378642</v>
      </c>
      <c r="AC21" s="8">
        <f>Table2[[#This Row],[HOME MARGIN/GAME]]-Table2[[#This Row],[AWAY MARGIN/GAME]]</f>
        <v>16.259445549187038</v>
      </c>
      <c r="AD21" s="23">
        <f>Table2[[#This Row],[HOME W/L%]]-Table2[[#This Row],[AWAY W/L%]]</f>
        <v>0.31299999999999994</v>
      </c>
      <c r="AE21" s="22"/>
      <c r="AF21"/>
      <c r="AJ21" s="10"/>
      <c r="AK21" s="10"/>
    </row>
    <row r="22" spans="1:39" ht="16" hidden="1" customHeight="1" x14ac:dyDescent="0.2">
      <c r="A22" s="1">
        <v>304</v>
      </c>
      <c r="B22" s="1"/>
      <c r="C22" s="2" t="s">
        <v>197</v>
      </c>
      <c r="D22" s="2" t="str">
        <f>IF(COUNTIF($AG$3:$AG$20,C22)&gt;0,$AG$2,
 IF(COUNTIF($AH$3:$AH$20,C22)&gt;0,$AH$2,
 IF(COUNTIF($AI$3:$AI$20,C22)&gt;0,$AI$2,
 IF(COUNTIF($AJ$3:$AJ$20,C22)&gt;0,$AJ$2,
 IF(COUNTIF($AK$3:$AK$20,C22)&gt;0,$AK$2,
 IF(COUNTIF($AL$3:$AL$20,C22)&gt;0,$AL$2,
 IF(COUNTIF($AM$3:$AM$20,C22)&gt;0,$AM$2,"Not Found")))))))</f>
        <v>Not Found</v>
      </c>
      <c r="E22" s="2" t="s">
        <v>73</v>
      </c>
      <c r="F22" s="2" t="s">
        <v>11</v>
      </c>
      <c r="G22" s="2">
        <v>65</v>
      </c>
      <c r="H22" s="2">
        <v>449</v>
      </c>
      <c r="I22" s="2">
        <v>75</v>
      </c>
      <c r="J22" s="2">
        <v>-595</v>
      </c>
      <c r="K22" s="4">
        <v>0.52300000000000002</v>
      </c>
      <c r="L22" s="4">
        <v>0.29299999999999998</v>
      </c>
      <c r="M22" s="2">
        <v>111.7</v>
      </c>
      <c r="N22" s="2">
        <v>101.2</v>
      </c>
      <c r="O22" s="2">
        <v>101.3</v>
      </c>
      <c r="P22" s="2">
        <v>113.1</v>
      </c>
      <c r="Q22" s="4">
        <v>0.58299999999999996</v>
      </c>
      <c r="R22" s="4">
        <v>0.54500000000000004</v>
      </c>
      <c r="S22" s="4">
        <v>0.54400000000000004</v>
      </c>
      <c r="T22" s="4">
        <v>0.58699999999999997</v>
      </c>
      <c r="U22" s="19">
        <f>Table2[[#This Row],[NET PF]]/Table2[[#This Row],[HOME GAMES]]</f>
        <v>-0.32307692307692309</v>
      </c>
      <c r="V22" s="28">
        <f>393/Table2[[#This Row],[AWAY GAMES]]</f>
        <v>5.24</v>
      </c>
      <c r="W22" s="4">
        <v>0.71599999999999997</v>
      </c>
      <c r="X22" s="4">
        <v>0.74299999999999999</v>
      </c>
      <c r="Y22" s="2">
        <v>-21</v>
      </c>
      <c r="Z22" s="2">
        <v>165</v>
      </c>
      <c r="AA22" s="8">
        <f>Table2[[#This Row],[HOME MARGIN]]/Table2[[#This Row],[HOME GAMES]]</f>
        <v>6.907692307692308</v>
      </c>
      <c r="AB22" s="8">
        <f>Table2[[#This Row],[AWAY MARGIN]]/Table2[[#This Row],[AWAY GAMES]]</f>
        <v>-7.9333333333333336</v>
      </c>
      <c r="AC22" s="8">
        <f>Table2[[#This Row],[HOME MARGIN/GAME]]-Table2[[#This Row],[AWAY MARGIN/GAME]]</f>
        <v>14.841025641025642</v>
      </c>
      <c r="AD22" s="23">
        <f>Table2[[#This Row],[HOME W/L%]]-Table2[[#This Row],[AWAY W/L%]]</f>
        <v>0.23000000000000004</v>
      </c>
      <c r="AE22" s="22"/>
      <c r="AF22"/>
      <c r="AK22" s="10"/>
    </row>
    <row r="23" spans="1:39" ht="16" hidden="1" customHeight="1" x14ac:dyDescent="0.2">
      <c r="A23" s="1">
        <v>62</v>
      </c>
      <c r="B23" s="1"/>
      <c r="C23" s="2" t="s">
        <v>16</v>
      </c>
      <c r="D23" s="2" t="str">
        <f>IF(COUNTIF($AG$3:$AG$20,C23)&gt;0,$AG$2,
 IF(COUNTIF($AH$3:$AH$20,C23)&gt;0,$AH$2,
 IF(COUNTIF($AI$3:$AI$20,C23)&gt;0,$AI$2,
 IF(COUNTIF($AJ$3:$AJ$20,C23)&gt;0,$AJ$2,
 IF(COUNTIF($AK$3:$AK$20,C23)&gt;0,$AK$2,
 IF(COUNTIF($AL$3:$AL$20,C23)&gt;0,$AL$2,
 IF(COUNTIF($AM$3:$AM$20,C23)&gt;0,$AM$2,"Not Found")))))))</f>
        <v>Not Found</v>
      </c>
      <c r="E23" s="2" t="s">
        <v>10</v>
      </c>
      <c r="F23" s="2" t="s">
        <v>11</v>
      </c>
      <c r="G23" s="2">
        <v>139</v>
      </c>
      <c r="H23" s="2">
        <v>1830</v>
      </c>
      <c r="I23" s="2">
        <v>144</v>
      </c>
      <c r="J23" s="2">
        <v>543</v>
      </c>
      <c r="K23" s="4">
        <v>0.878</v>
      </c>
      <c r="L23" s="4">
        <v>0.63900000000000001</v>
      </c>
      <c r="M23" s="2">
        <v>113.8</v>
      </c>
      <c r="N23" s="2">
        <v>108.7</v>
      </c>
      <c r="O23" s="2">
        <v>95.6</v>
      </c>
      <c r="P23" s="2">
        <v>103.5</v>
      </c>
      <c r="Q23" s="4">
        <v>0.60599999999999998</v>
      </c>
      <c r="R23" s="4">
        <v>0.57999999999999996</v>
      </c>
      <c r="S23" s="4">
        <v>0.51100000000000001</v>
      </c>
      <c r="T23" s="4">
        <v>0.54100000000000004</v>
      </c>
      <c r="U23" s="19">
        <f>Table2[[#This Row],[NET PF]]/Table2[[#This Row],[HOME GAMES]]</f>
        <v>-2.079136690647482</v>
      </c>
      <c r="V23" s="28">
        <f>393/Table2[[#This Row],[AWAY GAMES]]</f>
        <v>2.7291666666666665</v>
      </c>
      <c r="W23" s="4">
        <v>0.69799999999999995</v>
      </c>
      <c r="X23" s="4">
        <v>0.71299999999999997</v>
      </c>
      <c r="Y23" s="2">
        <v>-289</v>
      </c>
      <c r="Z23" s="2">
        <v>68</v>
      </c>
      <c r="AA23" s="8">
        <f>Table2[[#This Row],[HOME MARGIN]]/Table2[[#This Row],[HOME GAMES]]</f>
        <v>13.16546762589928</v>
      </c>
      <c r="AB23" s="8">
        <f>Table2[[#This Row],[AWAY MARGIN]]/Table2[[#This Row],[AWAY GAMES]]</f>
        <v>3.7708333333333335</v>
      </c>
      <c r="AC23" s="8">
        <f>Table2[[#This Row],[HOME MARGIN/GAME]]-Table2[[#This Row],[AWAY MARGIN/GAME]]</f>
        <v>9.3946342925659465</v>
      </c>
      <c r="AD23" s="23">
        <f>Table2[[#This Row],[HOME W/L%]]-Table2[[#This Row],[AWAY W/L%]]</f>
        <v>0.23899999999999999</v>
      </c>
      <c r="AE23" s="22"/>
      <c r="AF23"/>
      <c r="AK23" s="10"/>
    </row>
    <row r="24" spans="1:39" ht="16" hidden="1" customHeight="1" x14ac:dyDescent="0.2">
      <c r="A24" s="1">
        <v>190</v>
      </c>
      <c r="B24" s="1"/>
      <c r="C24" s="2" t="s">
        <v>252</v>
      </c>
      <c r="D24" s="2" t="str">
        <f>IF(COUNTIF($AG$3:$AG$20,C24)&gt;0,$AG$2,
 IF(COUNTIF($AH$3:$AH$20,C24)&gt;0,$AH$2,
 IF(COUNTIF($AI$3:$AI$20,C24)&gt;0,$AI$2,
 IF(COUNTIF($AJ$3:$AJ$20,C24)&gt;0,$AJ$2,
 IF(COUNTIF($AK$3:$AK$20,C24)&gt;0,$AK$2,
 IF(COUNTIF($AL$3:$AL$20,C24)&gt;0,$AL$2,
 IF(COUNTIF($AM$3:$AM$20,C24)&gt;0,$AM$2,"Not Found")))))))</f>
        <v>Not Found</v>
      </c>
      <c r="E24" s="2" t="s">
        <v>10</v>
      </c>
      <c r="F24" s="2" t="s">
        <v>11</v>
      </c>
      <c r="G24" s="2">
        <v>110</v>
      </c>
      <c r="H24" s="2">
        <v>1022</v>
      </c>
      <c r="I24" s="2">
        <v>151</v>
      </c>
      <c r="J24" s="2">
        <v>-1479</v>
      </c>
      <c r="K24" s="4">
        <v>0.70899999999999996</v>
      </c>
      <c r="L24" s="4">
        <v>0.27200000000000002</v>
      </c>
      <c r="M24" s="2">
        <v>105.4</v>
      </c>
      <c r="N24" s="2">
        <v>92.9</v>
      </c>
      <c r="O24" s="2">
        <v>92.9</v>
      </c>
      <c r="P24" s="2">
        <v>106.3</v>
      </c>
      <c r="Q24" s="4">
        <v>0.54700000000000004</v>
      </c>
      <c r="R24" s="4">
        <v>0.495</v>
      </c>
      <c r="S24" s="4">
        <v>0.495</v>
      </c>
      <c r="T24" s="4">
        <v>0.55400000000000005</v>
      </c>
      <c r="U24" s="19">
        <f>Table2[[#This Row],[NET PF]]/Table2[[#This Row],[HOME GAMES]]</f>
        <v>-0.83636363636363631</v>
      </c>
      <c r="V24" s="28">
        <f>393/Table2[[#This Row],[AWAY GAMES]]</f>
        <v>2.6026490066225167</v>
      </c>
      <c r="W24" s="4">
        <v>0.68</v>
      </c>
      <c r="X24" s="4">
        <v>0.71</v>
      </c>
      <c r="Y24" s="2">
        <v>-92</v>
      </c>
      <c r="Z24" s="2">
        <v>313</v>
      </c>
      <c r="AA24" s="8">
        <f>Table2[[#This Row],[HOME MARGIN]]/Table2[[#This Row],[HOME GAMES]]</f>
        <v>9.290909090909091</v>
      </c>
      <c r="AB24" s="8">
        <f>Table2[[#This Row],[AWAY MARGIN]]/Table2[[#This Row],[AWAY GAMES]]</f>
        <v>-9.7947019867549674</v>
      </c>
      <c r="AC24" s="8">
        <f>Table2[[#This Row],[HOME MARGIN/GAME]]-Table2[[#This Row],[AWAY MARGIN/GAME]]</f>
        <v>19.085611077664058</v>
      </c>
      <c r="AD24" s="23">
        <f>Table2[[#This Row],[HOME W/L%]]-Table2[[#This Row],[AWAY W/L%]]</f>
        <v>0.43699999999999994</v>
      </c>
      <c r="AE24" s="22"/>
      <c r="AF24"/>
      <c r="AK24" s="10"/>
    </row>
    <row r="25" spans="1:39" ht="16" hidden="1" customHeight="1" x14ac:dyDescent="0.2">
      <c r="A25" s="1">
        <v>321</v>
      </c>
      <c r="B25" s="1"/>
      <c r="C25" s="2" t="s">
        <v>267</v>
      </c>
      <c r="D25" s="2" t="str">
        <f>IF(COUNTIF($AG$3:$AG$20,C25)&gt;0,$AG$2,
 IF(COUNTIF($AH$3:$AH$20,C25)&gt;0,$AH$2,
 IF(COUNTIF($AI$3:$AI$20,C25)&gt;0,$AI$2,
 IF(COUNTIF($AJ$3:$AJ$20,C25)&gt;0,$AJ$2,
 IF(COUNTIF($AK$3:$AK$20,C25)&gt;0,$AK$2,
 IF(COUNTIF($AL$3:$AL$20,C25)&gt;0,$AL$2,
 IF(COUNTIF($AM$3:$AM$20,C25)&gt;0,$AM$2,"Not Found")))))))</f>
        <v>Not Found</v>
      </c>
      <c r="E25" s="2" t="s">
        <v>10</v>
      </c>
      <c r="F25" s="2" t="s">
        <v>11</v>
      </c>
      <c r="G25" s="2">
        <v>137</v>
      </c>
      <c r="H25" s="2">
        <v>319</v>
      </c>
      <c r="I25" s="2">
        <v>142</v>
      </c>
      <c r="J25" s="2">
        <v>-1279</v>
      </c>
      <c r="K25" s="4">
        <v>0.46700000000000003</v>
      </c>
      <c r="L25" s="4">
        <v>0.28199999999999997</v>
      </c>
      <c r="M25" s="2">
        <v>102.6</v>
      </c>
      <c r="N25" s="2">
        <v>93.8</v>
      </c>
      <c r="O25" s="2">
        <v>99.3</v>
      </c>
      <c r="P25" s="2">
        <v>106.8</v>
      </c>
      <c r="Q25" s="4">
        <v>0.54100000000000004</v>
      </c>
      <c r="R25" s="4">
        <v>0.51</v>
      </c>
      <c r="S25" s="4">
        <v>0.51200000000000001</v>
      </c>
      <c r="T25" s="4">
        <v>0.55300000000000005</v>
      </c>
      <c r="U25" s="19">
        <f>Table2[[#This Row],[NET PF]]/Table2[[#This Row],[HOME GAMES]]</f>
        <v>-0.33576642335766421</v>
      </c>
      <c r="V25" s="28">
        <f>393/Table2[[#This Row],[AWAY GAMES]]</f>
        <v>2.767605633802817</v>
      </c>
      <c r="W25" s="4">
        <v>0.67900000000000005</v>
      </c>
      <c r="X25" s="4">
        <v>0.71099999999999997</v>
      </c>
      <c r="Y25" s="2">
        <v>-46</v>
      </c>
      <c r="Z25" s="2">
        <v>226</v>
      </c>
      <c r="AA25" s="8">
        <f>Table2[[#This Row],[HOME MARGIN]]/Table2[[#This Row],[HOME GAMES]]</f>
        <v>2.3284671532846715</v>
      </c>
      <c r="AB25" s="8">
        <f>Table2[[#This Row],[AWAY MARGIN]]/Table2[[#This Row],[AWAY GAMES]]</f>
        <v>-9.0070422535211261</v>
      </c>
      <c r="AC25" s="8">
        <f>Table2[[#This Row],[HOME MARGIN/GAME]]-Table2[[#This Row],[AWAY MARGIN/GAME]]</f>
        <v>11.335509406805798</v>
      </c>
      <c r="AD25" s="23">
        <f>Table2[[#This Row],[HOME W/L%]]-Table2[[#This Row],[AWAY W/L%]]</f>
        <v>0.18500000000000005</v>
      </c>
      <c r="AE25" s="22"/>
      <c r="AF25"/>
    </row>
    <row r="26" spans="1:39" hidden="1" x14ac:dyDescent="0.2">
      <c r="A26" s="1">
        <v>28</v>
      </c>
      <c r="B26" s="1"/>
      <c r="C26" s="2" t="s">
        <v>36</v>
      </c>
      <c r="D26" s="2" t="str">
        <f>IF(COUNTIF($AG$3:$AG$20,C26)&gt;0,$AG$2,
 IF(COUNTIF($AH$3:$AH$20,C26)&gt;0,$AH$2,
 IF(COUNTIF($AI$3:$AI$20,C26)&gt;0,$AI$2,
 IF(COUNTIF($AJ$3:$AJ$20,C26)&gt;0,$AJ$2,
 IF(COUNTIF($AK$3:$AK$20,C26)&gt;0,$AK$2,
 IF(COUNTIF($AL$3:$AL$20,C26)&gt;0,$AL$2,
 IF(COUNTIF($AM$3:$AM$20,C26)&gt;0,$AM$2,"Not Found")))))))</f>
        <v>Not Found</v>
      </c>
      <c r="E26" s="2" t="s">
        <v>10</v>
      </c>
      <c r="F26" s="2" t="s">
        <v>11</v>
      </c>
      <c r="G26" s="2">
        <v>150</v>
      </c>
      <c r="H26" s="2">
        <v>2126</v>
      </c>
      <c r="I26" s="2">
        <v>117</v>
      </c>
      <c r="J26" s="2">
        <v>128</v>
      </c>
      <c r="K26" s="4">
        <v>0.83299999999999996</v>
      </c>
      <c r="L26" s="4">
        <v>0.496</v>
      </c>
      <c r="M26" s="2">
        <v>112.2</v>
      </c>
      <c r="N26" s="2">
        <v>103.4</v>
      </c>
      <c r="O26" s="2">
        <v>91.9</v>
      </c>
      <c r="P26" s="2">
        <v>101.8</v>
      </c>
      <c r="Q26" s="4">
        <v>0.58099999999999996</v>
      </c>
      <c r="R26" s="4">
        <v>0.54400000000000004</v>
      </c>
      <c r="S26" s="4">
        <v>0.50900000000000001</v>
      </c>
      <c r="T26" s="4">
        <v>0.54700000000000004</v>
      </c>
      <c r="U26" s="19">
        <f>Table2[[#This Row],[NET PF]]/Table2[[#This Row],[HOME GAMES]]</f>
        <v>-3.1</v>
      </c>
      <c r="V26" s="28">
        <f>393/Table2[[#This Row],[AWAY GAMES]]</f>
        <v>3.358974358974359</v>
      </c>
      <c r="W26" s="4">
        <v>0.70799999999999996</v>
      </c>
      <c r="X26" s="4">
        <v>0.72799999999999998</v>
      </c>
      <c r="Y26" s="2">
        <v>-465</v>
      </c>
      <c r="Z26" s="2">
        <v>65</v>
      </c>
      <c r="AA26" s="8">
        <f>Table2[[#This Row],[HOME MARGIN]]/Table2[[#This Row],[HOME GAMES]]</f>
        <v>14.173333333333334</v>
      </c>
      <c r="AB26" s="8">
        <f>Table2[[#This Row],[AWAY MARGIN]]/Table2[[#This Row],[AWAY GAMES]]</f>
        <v>1.0940170940170941</v>
      </c>
      <c r="AC26" s="8">
        <f>Table2[[#This Row],[HOME MARGIN/GAME]]-Table2[[#This Row],[AWAY MARGIN/GAME]]</f>
        <v>13.07931623931624</v>
      </c>
      <c r="AD26" s="23">
        <f>Table2[[#This Row],[HOME W/L%]]-Table2[[#This Row],[AWAY W/L%]]</f>
        <v>0.33699999999999997</v>
      </c>
      <c r="AE26" s="22"/>
      <c r="AF26"/>
    </row>
    <row r="27" spans="1:39" ht="16" customHeight="1" x14ac:dyDescent="0.2">
      <c r="A27" s="1">
        <v>345</v>
      </c>
      <c r="B27" s="1">
        <v>78</v>
      </c>
      <c r="C27" s="2" t="s">
        <v>303</v>
      </c>
      <c r="D27" s="2" t="str">
        <f>IF(COUNTIF($AG$3:$AG$20,C27)&gt;0,$AG$2,
 IF(COUNTIF($AH$3:$AH$20,C27)&gt;0,$AH$2,
 IF(COUNTIF($AI$3:$AI$20,C27)&gt;0,$AI$2,
 IF(COUNTIF($AJ$3:$AJ$20,C27)&gt;0,$AJ$2,
 IF(COUNTIF($AK$3:$AK$20,C27)&gt;0,$AK$2,
 IF(COUNTIF($AL$3:$AL$20,C27)&gt;0,$AL$2,
 IF(COUNTIF($AM$3:$AM$20,C27)&gt;0,$AM$2,"Not Found")))))))</f>
        <v>ACC</v>
      </c>
      <c r="E27" s="2" t="s">
        <v>10</v>
      </c>
      <c r="F27" s="2" t="s">
        <v>11</v>
      </c>
      <c r="G27" s="2">
        <v>161</v>
      </c>
      <c r="H27" s="2">
        <v>123</v>
      </c>
      <c r="I27" s="2">
        <v>105</v>
      </c>
      <c r="J27" s="2">
        <v>-1035</v>
      </c>
      <c r="K27" s="4">
        <v>0.53400000000000003</v>
      </c>
      <c r="L27" s="4">
        <v>0.19</v>
      </c>
      <c r="M27" s="2">
        <v>101.6</v>
      </c>
      <c r="N27" s="2">
        <v>95.4</v>
      </c>
      <c r="O27" s="2">
        <v>100.6</v>
      </c>
      <c r="P27" s="2">
        <v>109.5</v>
      </c>
      <c r="Q27" s="4">
        <v>0.53200000000000003</v>
      </c>
      <c r="R27" s="4">
        <v>0.51200000000000001</v>
      </c>
      <c r="S27" s="4">
        <v>0.53200000000000003</v>
      </c>
      <c r="T27" s="4">
        <v>0.57299999999999995</v>
      </c>
      <c r="U27" s="19">
        <f>Table2[[#This Row],[NET PF]]/Table2[[#This Row],[HOME GAMES]]</f>
        <v>-0.80745341614906829</v>
      </c>
      <c r="V27" s="28">
        <f>393/Table2[[#This Row],[AWAY GAMES]]</f>
        <v>3.7428571428571429</v>
      </c>
      <c r="W27" s="4">
        <v>0.72499999999999998</v>
      </c>
      <c r="X27" s="4">
        <v>0.74199999999999999</v>
      </c>
      <c r="Y27" s="2">
        <v>-130</v>
      </c>
      <c r="Z27" s="2">
        <v>234</v>
      </c>
      <c r="AA27" s="8">
        <f>Table2[[#This Row],[HOME MARGIN]]/Table2[[#This Row],[HOME GAMES]]</f>
        <v>0.7639751552795031</v>
      </c>
      <c r="AB27" s="8">
        <f>Table2[[#This Row],[AWAY MARGIN]]/Table2[[#This Row],[AWAY GAMES]]</f>
        <v>-9.8571428571428577</v>
      </c>
      <c r="AC27" s="8">
        <f>Table2[[#This Row],[HOME MARGIN/GAME]]-Table2[[#This Row],[AWAY MARGIN/GAME]]</f>
        <v>10.621118012422361</v>
      </c>
      <c r="AD27" s="23">
        <f>Table2[[#This Row],[HOME W/L%]]-Table2[[#This Row],[AWAY W/L%]]</f>
        <v>0.34400000000000003</v>
      </c>
      <c r="AE27" s="22"/>
      <c r="AF27"/>
    </row>
    <row r="28" spans="1:39" ht="16" hidden="1" customHeight="1" x14ac:dyDescent="0.2">
      <c r="A28" s="1">
        <v>290</v>
      </c>
      <c r="B28" s="1"/>
      <c r="C28" s="2" t="s">
        <v>114</v>
      </c>
      <c r="D28" s="2" t="str">
        <f>IF(COUNTIF($AG$3:$AG$20,C28)&gt;0,$AG$2,
 IF(COUNTIF($AH$3:$AH$20,C28)&gt;0,$AH$2,
 IF(COUNTIF($AI$3:$AI$20,C28)&gt;0,$AI$2,
 IF(COUNTIF($AJ$3:$AJ$20,C28)&gt;0,$AJ$2,
 IF(COUNTIF($AK$3:$AK$20,C28)&gt;0,$AK$2,
 IF(COUNTIF($AL$3:$AL$20,C28)&gt;0,$AL$2,
 IF(COUNTIF($AM$3:$AM$20,C28)&gt;0,$AM$2,"Not Found")))))))</f>
        <v>Not Found</v>
      </c>
      <c r="E28" s="2" t="s">
        <v>10</v>
      </c>
      <c r="F28" s="2" t="s">
        <v>11</v>
      </c>
      <c r="G28" s="2">
        <v>131</v>
      </c>
      <c r="H28" s="2">
        <v>539</v>
      </c>
      <c r="I28" s="2">
        <v>153</v>
      </c>
      <c r="J28" s="2">
        <v>-313</v>
      </c>
      <c r="K28" s="4">
        <v>0.626</v>
      </c>
      <c r="L28" s="4">
        <v>0.44400000000000001</v>
      </c>
      <c r="M28" s="2">
        <v>106.6</v>
      </c>
      <c r="N28" s="2">
        <v>98.4</v>
      </c>
      <c r="O28" s="2">
        <v>100.7</v>
      </c>
      <c r="P28" s="2">
        <v>101.4</v>
      </c>
      <c r="Q28" s="4">
        <v>0.55800000000000005</v>
      </c>
      <c r="R28" s="4">
        <v>0.52300000000000002</v>
      </c>
      <c r="S28" s="4">
        <v>0.54300000000000004</v>
      </c>
      <c r="T28" s="4">
        <v>0.53800000000000003</v>
      </c>
      <c r="U28" s="19">
        <f>Table2[[#This Row],[NET PF]]/Table2[[#This Row],[HOME GAMES]]</f>
        <v>-0.20610687022900764</v>
      </c>
      <c r="V28" s="28">
        <f>393/Table2[[#This Row],[AWAY GAMES]]</f>
        <v>2.5686274509803924</v>
      </c>
      <c r="W28" s="4">
        <v>0.70399999999999996</v>
      </c>
      <c r="X28" s="4">
        <v>0.69799999999999995</v>
      </c>
      <c r="Y28" s="2">
        <v>-27</v>
      </c>
      <c r="Z28" s="2">
        <v>177</v>
      </c>
      <c r="AA28" s="8">
        <f>Table2[[#This Row],[HOME MARGIN]]/Table2[[#This Row],[HOME GAMES]]</f>
        <v>4.114503816793893</v>
      </c>
      <c r="AB28" s="8">
        <f>Table2[[#This Row],[AWAY MARGIN]]/Table2[[#This Row],[AWAY GAMES]]</f>
        <v>-2.0457516339869279</v>
      </c>
      <c r="AC28" s="8">
        <f>Table2[[#This Row],[HOME MARGIN/GAME]]-Table2[[#This Row],[AWAY MARGIN/GAME]]</f>
        <v>6.1602554507808209</v>
      </c>
      <c r="AD28" s="23">
        <f>Table2[[#This Row],[HOME W/L%]]-Table2[[#This Row],[AWAY W/L%]]</f>
        <v>0.182</v>
      </c>
      <c r="AE28" s="22"/>
      <c r="AF28"/>
    </row>
    <row r="29" spans="1:39" ht="16" hidden="1" customHeight="1" x14ac:dyDescent="0.2">
      <c r="A29" s="1">
        <v>247</v>
      </c>
      <c r="B29" s="1"/>
      <c r="C29" s="2" t="s">
        <v>198</v>
      </c>
      <c r="D29" s="2" t="str">
        <f>IF(COUNTIF($AG$3:$AG$20,C29)&gt;0,$AG$2,
 IF(COUNTIF($AH$3:$AH$20,C29)&gt;0,$AH$2,
 IF(COUNTIF($AI$3:$AI$20,C29)&gt;0,$AI$2,
 IF(COUNTIF($AJ$3:$AJ$20,C29)&gt;0,$AJ$2,
 IF(COUNTIF($AK$3:$AK$20,C29)&gt;0,$AK$2,
 IF(COUNTIF($AL$3:$AL$20,C29)&gt;0,$AL$2,
 IF(COUNTIF($AM$3:$AM$20,C29)&gt;0,$AM$2,"Not Found")))))))</f>
        <v>Not Found</v>
      </c>
      <c r="E29" s="2" t="s">
        <v>10</v>
      </c>
      <c r="F29" s="2" t="s">
        <v>11</v>
      </c>
      <c r="G29" s="2">
        <v>153</v>
      </c>
      <c r="H29" s="2">
        <v>740</v>
      </c>
      <c r="I29" s="2">
        <v>131</v>
      </c>
      <c r="J29" s="2">
        <v>-597</v>
      </c>
      <c r="K29" s="4">
        <v>0.60799999999999998</v>
      </c>
      <c r="L29" s="4">
        <v>0.39700000000000002</v>
      </c>
      <c r="M29" s="2">
        <v>105.1</v>
      </c>
      <c r="N29" s="2">
        <v>100.5</v>
      </c>
      <c r="O29" s="2">
        <v>98.6</v>
      </c>
      <c r="P29" s="2">
        <v>106.8</v>
      </c>
      <c r="Q29" s="4">
        <v>0.54</v>
      </c>
      <c r="R29" s="4">
        <v>0.51900000000000002</v>
      </c>
      <c r="S29" s="4">
        <v>0.53</v>
      </c>
      <c r="T29" s="4">
        <v>0.56000000000000005</v>
      </c>
      <c r="U29" s="19">
        <f>Table2[[#This Row],[NET PF]]/Table2[[#This Row],[HOME GAMES]]</f>
        <v>-2.5751633986928106</v>
      </c>
      <c r="V29" s="28">
        <f>393/Table2[[#This Row],[AWAY GAMES]]</f>
        <v>3</v>
      </c>
      <c r="W29" s="4">
        <v>0.70699999999999996</v>
      </c>
      <c r="X29" s="4">
        <v>0.73</v>
      </c>
      <c r="Y29" s="2">
        <v>-394</v>
      </c>
      <c r="Z29" s="2">
        <v>88</v>
      </c>
      <c r="AA29" s="8">
        <f>Table2[[#This Row],[HOME MARGIN]]/Table2[[#This Row],[HOME GAMES]]</f>
        <v>4.8366013071895422</v>
      </c>
      <c r="AB29" s="8">
        <f>Table2[[#This Row],[AWAY MARGIN]]/Table2[[#This Row],[AWAY GAMES]]</f>
        <v>-4.5572519083969469</v>
      </c>
      <c r="AC29" s="8">
        <f>Table2[[#This Row],[HOME MARGIN/GAME]]-Table2[[#This Row],[AWAY MARGIN/GAME]]</f>
        <v>9.3938532155864891</v>
      </c>
      <c r="AD29" s="23">
        <f>Table2[[#This Row],[HOME W/L%]]-Table2[[#This Row],[AWAY W/L%]]</f>
        <v>0.21099999999999997</v>
      </c>
      <c r="AE29" s="22"/>
      <c r="AF29"/>
    </row>
    <row r="30" spans="1:39" ht="16" hidden="1" customHeight="1" x14ac:dyDescent="0.2">
      <c r="A30" s="1">
        <v>112</v>
      </c>
      <c r="B30" s="1"/>
      <c r="C30" s="2" t="s">
        <v>211</v>
      </c>
      <c r="D30" s="2" t="str">
        <f>IF(COUNTIF($AG$3:$AG$20,C30)&gt;0,$AG$2,
 IF(COUNTIF($AH$3:$AH$20,C30)&gt;0,$AH$2,
 IF(COUNTIF($AI$3:$AI$20,C30)&gt;0,$AI$2,
 IF(COUNTIF($AJ$3:$AJ$20,C30)&gt;0,$AJ$2,
 IF(COUNTIF($AK$3:$AK$20,C30)&gt;0,$AK$2,
 IF(COUNTIF($AL$3:$AL$20,C30)&gt;0,$AL$2,
 IF(COUNTIF($AM$3:$AM$20,C30)&gt;0,$AM$2,"Not Found")))))))</f>
        <v>Not Found</v>
      </c>
      <c r="E30" s="2" t="s">
        <v>10</v>
      </c>
      <c r="F30" s="2" t="s">
        <v>11</v>
      </c>
      <c r="G30" s="2">
        <v>154</v>
      </c>
      <c r="H30" s="2">
        <v>1447</v>
      </c>
      <c r="I30" s="2">
        <v>122</v>
      </c>
      <c r="J30" s="2">
        <v>-628</v>
      </c>
      <c r="K30" s="4">
        <v>0.72099999999999997</v>
      </c>
      <c r="L30" s="4">
        <v>0.36099999999999999</v>
      </c>
      <c r="M30" s="2">
        <v>106.4</v>
      </c>
      <c r="N30" s="2">
        <v>96.5</v>
      </c>
      <c r="O30" s="2">
        <v>92.5</v>
      </c>
      <c r="P30" s="2">
        <v>104</v>
      </c>
      <c r="Q30" s="4">
        <v>0.55900000000000005</v>
      </c>
      <c r="R30" s="4">
        <v>0.51900000000000002</v>
      </c>
      <c r="S30" s="4">
        <v>0.49299999999999999</v>
      </c>
      <c r="T30" s="4">
        <v>0.54800000000000004</v>
      </c>
      <c r="U30" s="19">
        <f>Table2[[#This Row],[NET PF]]/Table2[[#This Row],[HOME GAMES]]</f>
        <v>-1.5</v>
      </c>
      <c r="V30" s="28">
        <f>393/Table2[[#This Row],[AWAY GAMES]]</f>
        <v>3.221311475409836</v>
      </c>
      <c r="W30" s="4">
        <v>0.70099999999999996</v>
      </c>
      <c r="X30" s="4">
        <v>0.73299999999999998</v>
      </c>
      <c r="Y30" s="2">
        <v>-231</v>
      </c>
      <c r="Z30" s="2">
        <v>396</v>
      </c>
      <c r="AA30" s="8">
        <f>Table2[[#This Row],[HOME MARGIN]]/Table2[[#This Row],[HOME GAMES]]</f>
        <v>9.396103896103897</v>
      </c>
      <c r="AB30" s="8">
        <f>Table2[[#This Row],[AWAY MARGIN]]/Table2[[#This Row],[AWAY GAMES]]</f>
        <v>-5.1475409836065573</v>
      </c>
      <c r="AC30" s="8">
        <f>Table2[[#This Row],[HOME MARGIN/GAME]]-Table2[[#This Row],[AWAY MARGIN/GAME]]</f>
        <v>14.543644879710454</v>
      </c>
      <c r="AD30" s="23">
        <f>Table2[[#This Row],[HOME W/L%]]-Table2[[#This Row],[AWAY W/L%]]</f>
        <v>0.36</v>
      </c>
      <c r="AE30" s="22"/>
      <c r="AF30"/>
    </row>
    <row r="31" spans="1:39" x14ac:dyDescent="0.2">
      <c r="A31" s="1">
        <v>18</v>
      </c>
      <c r="B31" s="1">
        <v>12</v>
      </c>
      <c r="C31" s="33" t="s">
        <v>38</v>
      </c>
      <c r="D31" s="33" t="str">
        <f>IF(COUNTIF($AG$3:$AG$20,C31)&gt;0,$AG$2,
 IF(COUNTIF($AH$3:$AH$20,C31)&gt;0,$AH$2,
 IF(COUNTIF($AI$3:$AI$20,C31)&gt;0,$AI$2,
 IF(COUNTIF($AJ$3:$AJ$20,C31)&gt;0,$AJ$2,
 IF(COUNTIF($AK$3:$AK$20,C31)&gt;0,$AK$2,
 IF(COUNTIF($AL$3:$AL$20,C31)&gt;0,$AL$2,
 IF(COUNTIF($AM$3:$AM$20,C31)&gt;0,$AM$2,"Not Found")))))))</f>
        <v>Big 12</v>
      </c>
      <c r="E31" s="33" t="s">
        <v>10</v>
      </c>
      <c r="F31" s="33" t="s">
        <v>11</v>
      </c>
      <c r="G31" s="33">
        <v>158</v>
      </c>
      <c r="H31" s="33">
        <v>2315</v>
      </c>
      <c r="I31" s="33">
        <v>107</v>
      </c>
      <c r="J31" s="33">
        <v>127</v>
      </c>
      <c r="K31" s="34">
        <v>0.84799999999999998</v>
      </c>
      <c r="L31" s="34">
        <v>0.495</v>
      </c>
      <c r="M31" s="33">
        <v>112.1</v>
      </c>
      <c r="N31" s="33">
        <v>105</v>
      </c>
      <c r="O31" s="33">
        <v>92</v>
      </c>
      <c r="P31" s="33">
        <v>103.4</v>
      </c>
      <c r="Q31" s="34">
        <v>0.58499999999999996</v>
      </c>
      <c r="R31" s="34">
        <v>0.55800000000000005</v>
      </c>
      <c r="S31" s="34">
        <v>0.49399999999999999</v>
      </c>
      <c r="T31" s="34">
        <v>0.54800000000000004</v>
      </c>
      <c r="U31" s="35">
        <f>Table2[[#This Row],[NET PF]]/Table2[[#This Row],[HOME GAMES]]</f>
        <v>-1.7911392405063291</v>
      </c>
      <c r="V31" s="36">
        <f>393/Table2[[#This Row],[AWAY GAMES]]</f>
        <v>3.6728971962616823</v>
      </c>
      <c r="W31" s="34">
        <v>0.66500000000000004</v>
      </c>
      <c r="X31" s="34">
        <v>0.72</v>
      </c>
      <c r="Y31" s="33">
        <v>-283</v>
      </c>
      <c r="Z31" s="33">
        <v>223</v>
      </c>
      <c r="AA31" s="35">
        <f>Table2[[#This Row],[HOME MARGIN]]/Table2[[#This Row],[HOME GAMES]]</f>
        <v>14.651898734177216</v>
      </c>
      <c r="AB31" s="35">
        <f>Table2[[#This Row],[AWAY MARGIN]]/Table2[[#This Row],[AWAY GAMES]]</f>
        <v>1.1869158878504673</v>
      </c>
      <c r="AC31" s="35">
        <f>Table2[[#This Row],[HOME MARGIN/GAME]]-Table2[[#This Row],[AWAY MARGIN/GAME]]</f>
        <v>13.464982846326748</v>
      </c>
      <c r="AD31" s="34">
        <f>Table2[[#This Row],[HOME W/L%]]-Table2[[#This Row],[AWAY W/L%]]</f>
        <v>0.35299999999999998</v>
      </c>
      <c r="AE31" s="22"/>
      <c r="AF31"/>
    </row>
    <row r="32" spans="1:39" ht="16" hidden="1" customHeight="1" x14ac:dyDescent="0.2">
      <c r="A32" s="1">
        <v>288</v>
      </c>
      <c r="B32" s="1"/>
      <c r="C32" s="2" t="s">
        <v>187</v>
      </c>
      <c r="D32" s="2" t="str">
        <f>IF(COUNTIF($AG$3:$AG$20,C32)&gt;0,$AG$2,
 IF(COUNTIF($AH$3:$AH$20,C32)&gt;0,$AH$2,
 IF(COUNTIF($AI$3:$AI$20,C32)&gt;0,$AI$2,
 IF(COUNTIF($AJ$3:$AJ$20,C32)&gt;0,$AJ$2,
 IF(COUNTIF($AK$3:$AK$20,C32)&gt;0,$AK$2,
 IF(COUNTIF($AL$3:$AL$20,C32)&gt;0,$AL$2,
 IF(COUNTIF($AM$3:$AM$20,C32)&gt;0,$AM$2,"Not Found")))))))</f>
        <v>Not Found</v>
      </c>
      <c r="E32" s="2" t="s">
        <v>10</v>
      </c>
      <c r="F32" s="2" t="s">
        <v>11</v>
      </c>
      <c r="G32" s="2">
        <v>122</v>
      </c>
      <c r="H32" s="2">
        <v>546</v>
      </c>
      <c r="I32" s="2">
        <v>123</v>
      </c>
      <c r="J32" s="2">
        <v>-579</v>
      </c>
      <c r="K32" s="4">
        <v>0.59</v>
      </c>
      <c r="L32" s="4">
        <v>0.36599999999999999</v>
      </c>
      <c r="M32" s="2">
        <v>104.6</v>
      </c>
      <c r="N32" s="2">
        <v>96.4</v>
      </c>
      <c r="O32" s="2">
        <v>98.4</v>
      </c>
      <c r="P32" s="2">
        <v>103</v>
      </c>
      <c r="Q32" s="4">
        <v>0.55100000000000005</v>
      </c>
      <c r="R32" s="4">
        <v>0.51500000000000001</v>
      </c>
      <c r="S32" s="4">
        <v>0.53100000000000003</v>
      </c>
      <c r="T32" s="4">
        <v>0.55000000000000004</v>
      </c>
      <c r="U32" s="19">
        <f>Table2[[#This Row],[NET PF]]/Table2[[#This Row],[HOME GAMES]]</f>
        <v>-1.8278688524590163</v>
      </c>
      <c r="V32" s="28">
        <f>393/Table2[[#This Row],[AWAY GAMES]]</f>
        <v>3.1951219512195124</v>
      </c>
      <c r="W32" s="4">
        <v>0.70199999999999996</v>
      </c>
      <c r="X32" s="4">
        <v>0.70199999999999996</v>
      </c>
      <c r="Y32" s="2">
        <v>-223</v>
      </c>
      <c r="Z32" s="2">
        <v>38</v>
      </c>
      <c r="AA32" s="8">
        <f>Table2[[#This Row],[HOME MARGIN]]/Table2[[#This Row],[HOME GAMES]]</f>
        <v>4.4754098360655741</v>
      </c>
      <c r="AB32" s="8">
        <f>Table2[[#This Row],[AWAY MARGIN]]/Table2[[#This Row],[AWAY GAMES]]</f>
        <v>-4.7073170731707314</v>
      </c>
      <c r="AC32" s="8">
        <f>Table2[[#This Row],[HOME MARGIN/GAME]]-Table2[[#This Row],[AWAY MARGIN/GAME]]</f>
        <v>9.1827269092363046</v>
      </c>
      <c r="AD32" s="23">
        <f>Table2[[#This Row],[HOME W/L%]]-Table2[[#This Row],[AWAY W/L%]]</f>
        <v>0.22399999999999998</v>
      </c>
      <c r="AE32" s="22"/>
      <c r="AF32"/>
    </row>
    <row r="33" spans="1:32" ht="16" hidden="1" customHeight="1" x14ac:dyDescent="0.2">
      <c r="A33" s="1">
        <v>227</v>
      </c>
      <c r="B33" s="1"/>
      <c r="C33" s="2" t="s">
        <v>310</v>
      </c>
      <c r="D33" s="2" t="str">
        <f>IF(COUNTIF($AG$3:$AG$20,C33)&gt;0,$AG$2,
 IF(COUNTIF($AH$3:$AH$20,C33)&gt;0,$AH$2,
 IF(COUNTIF($AI$3:$AI$20,C33)&gt;0,$AI$2,
 IF(COUNTIF($AJ$3:$AJ$20,C33)&gt;0,$AJ$2,
 IF(COUNTIF($AK$3:$AK$20,C33)&gt;0,$AK$2,
 IF(COUNTIF($AL$3:$AL$20,C33)&gt;0,$AL$2,
 IF(COUNTIF($AM$3:$AM$20,C33)&gt;0,$AM$2,"Not Found")))))))</f>
        <v>Not Found</v>
      </c>
      <c r="E33" s="2" t="s">
        <v>10</v>
      </c>
      <c r="F33" s="2" t="s">
        <v>11</v>
      </c>
      <c r="G33" s="2">
        <v>127</v>
      </c>
      <c r="H33" s="2">
        <v>831</v>
      </c>
      <c r="I33" s="2">
        <v>155</v>
      </c>
      <c r="J33" s="2">
        <v>-1006</v>
      </c>
      <c r="K33" s="4">
        <v>0.622</v>
      </c>
      <c r="L33" s="4">
        <v>0.34200000000000003</v>
      </c>
      <c r="M33" s="2">
        <v>106.2</v>
      </c>
      <c r="N33" s="2">
        <v>97.7</v>
      </c>
      <c r="O33" s="2">
        <v>97.3</v>
      </c>
      <c r="P33" s="2">
        <v>106.4</v>
      </c>
      <c r="Q33" s="4">
        <v>0.55600000000000005</v>
      </c>
      <c r="R33" s="4">
        <v>0.51700000000000002</v>
      </c>
      <c r="S33" s="4">
        <v>0.51200000000000001</v>
      </c>
      <c r="T33" s="4">
        <v>0.54200000000000004</v>
      </c>
      <c r="U33" s="19">
        <f>Table2[[#This Row],[NET PF]]/Table2[[#This Row],[HOME GAMES]]</f>
        <v>-0.91338582677165359</v>
      </c>
      <c r="V33" s="28">
        <f>393/Table2[[#This Row],[AWAY GAMES]]</f>
        <v>2.5354838709677421</v>
      </c>
      <c r="W33" s="4">
        <v>0.7</v>
      </c>
      <c r="X33" s="4">
        <v>0.71299999999999997</v>
      </c>
      <c r="Y33" s="2">
        <v>-116</v>
      </c>
      <c r="Z33" s="2">
        <v>234</v>
      </c>
      <c r="AA33" s="8">
        <f>Table2[[#This Row],[HOME MARGIN]]/Table2[[#This Row],[HOME GAMES]]</f>
        <v>6.5433070866141732</v>
      </c>
      <c r="AB33" s="8">
        <f>Table2[[#This Row],[AWAY MARGIN]]/Table2[[#This Row],[AWAY GAMES]]</f>
        <v>-6.4903225806451612</v>
      </c>
      <c r="AC33" s="8">
        <f>Table2[[#This Row],[HOME MARGIN/GAME]]-Table2[[#This Row],[AWAY MARGIN/GAME]]</f>
        <v>13.033629667259333</v>
      </c>
      <c r="AD33" s="23">
        <f>Table2[[#This Row],[HOME W/L%]]-Table2[[#This Row],[AWAY W/L%]]</f>
        <v>0.27999999999999997</v>
      </c>
      <c r="AE33" s="22"/>
      <c r="AF33"/>
    </row>
    <row r="34" spans="1:32" ht="16" hidden="1" customHeight="1" x14ac:dyDescent="0.2">
      <c r="A34" s="1">
        <v>242</v>
      </c>
      <c r="B34" s="1"/>
      <c r="C34" s="2" t="s">
        <v>159</v>
      </c>
      <c r="D34" s="2" t="str">
        <f>IF(COUNTIF($AG$3:$AG$20,C34)&gt;0,$AG$2,
 IF(COUNTIF($AH$3:$AH$20,C34)&gt;0,$AH$2,
 IF(COUNTIF($AI$3:$AI$20,C34)&gt;0,$AI$2,
 IF(COUNTIF($AJ$3:$AJ$20,C34)&gt;0,$AJ$2,
 IF(COUNTIF($AK$3:$AK$20,C34)&gt;0,$AK$2,
 IF(COUNTIF($AL$3:$AL$20,C34)&gt;0,$AL$2,
 IF(COUNTIF($AM$3:$AM$20,C34)&gt;0,$AM$2,"Not Found")))))))</f>
        <v>Not Found</v>
      </c>
      <c r="E34" s="2" t="s">
        <v>10</v>
      </c>
      <c r="F34" s="2" t="s">
        <v>11</v>
      </c>
      <c r="G34" s="2">
        <v>126</v>
      </c>
      <c r="H34" s="2">
        <v>756</v>
      </c>
      <c r="I34" s="2">
        <v>146</v>
      </c>
      <c r="J34" s="2">
        <v>-461</v>
      </c>
      <c r="K34" s="4">
        <v>0.65900000000000003</v>
      </c>
      <c r="L34" s="4">
        <v>0.39</v>
      </c>
      <c r="M34" s="2">
        <v>104.5</v>
      </c>
      <c r="N34" s="2">
        <v>100.7</v>
      </c>
      <c r="O34" s="2">
        <v>96.1</v>
      </c>
      <c r="P34" s="2">
        <v>105.1</v>
      </c>
      <c r="Q34" s="4">
        <v>0.56599999999999995</v>
      </c>
      <c r="R34" s="4">
        <v>0.54600000000000004</v>
      </c>
      <c r="S34" s="4">
        <v>0.50800000000000001</v>
      </c>
      <c r="T34" s="4">
        <v>0.54700000000000004</v>
      </c>
      <c r="U34" s="19">
        <f>Table2[[#This Row],[NET PF]]/Table2[[#This Row],[HOME GAMES]]</f>
        <v>-0.76984126984126988</v>
      </c>
      <c r="V34" s="28">
        <f>393/Table2[[#This Row],[AWAY GAMES]]</f>
        <v>2.6917808219178081</v>
      </c>
      <c r="W34" s="4">
        <v>0.66200000000000003</v>
      </c>
      <c r="X34" s="4">
        <v>0.71099999999999997</v>
      </c>
      <c r="Y34" s="2">
        <v>-97</v>
      </c>
      <c r="Z34" s="2">
        <v>102</v>
      </c>
      <c r="AA34" s="8">
        <f>Table2[[#This Row],[HOME MARGIN]]/Table2[[#This Row],[HOME GAMES]]</f>
        <v>6</v>
      </c>
      <c r="AB34" s="8">
        <f>Table2[[#This Row],[AWAY MARGIN]]/Table2[[#This Row],[AWAY GAMES]]</f>
        <v>-3.1575342465753424</v>
      </c>
      <c r="AC34" s="8">
        <f>Table2[[#This Row],[HOME MARGIN/GAME]]-Table2[[#This Row],[AWAY MARGIN/GAME]]</f>
        <v>9.1575342465753415</v>
      </c>
      <c r="AD34" s="23">
        <f>Table2[[#This Row],[HOME W/L%]]-Table2[[#This Row],[AWAY W/L%]]</f>
        <v>0.26900000000000002</v>
      </c>
      <c r="AE34" s="22"/>
      <c r="AF34"/>
    </row>
    <row r="35" spans="1:32" ht="16" hidden="1" customHeight="1" x14ac:dyDescent="0.2">
      <c r="A35" s="1">
        <v>187</v>
      </c>
      <c r="B35" s="1"/>
      <c r="C35" s="2" t="s">
        <v>92</v>
      </c>
      <c r="D35" s="2" t="str">
        <f>IF(COUNTIF($AG$3:$AG$20,C35)&gt;0,$AG$2,
 IF(COUNTIF($AH$3:$AH$20,C35)&gt;0,$AH$2,
 IF(COUNTIF($AI$3:$AI$20,C35)&gt;0,$AI$2,
 IF(COUNTIF($AJ$3:$AJ$20,C35)&gt;0,$AJ$2,
 IF(COUNTIF($AK$3:$AK$20,C35)&gt;0,$AK$2,
 IF(COUNTIF($AL$3:$AL$20,C35)&gt;0,$AL$2,
 IF(COUNTIF($AM$3:$AM$20,C35)&gt;0,$AM$2,"Not Found")))))))</f>
        <v>Not Found</v>
      </c>
      <c r="E35" s="2" t="s">
        <v>10</v>
      </c>
      <c r="F35" s="2" t="s">
        <v>11</v>
      </c>
      <c r="G35" s="2">
        <v>140</v>
      </c>
      <c r="H35" s="2">
        <v>1053</v>
      </c>
      <c r="I35" s="2">
        <v>132</v>
      </c>
      <c r="J35" s="2">
        <v>-223</v>
      </c>
      <c r="K35" s="4">
        <v>0.65700000000000003</v>
      </c>
      <c r="L35" s="4">
        <v>0.47</v>
      </c>
      <c r="M35" s="2">
        <v>106.6</v>
      </c>
      <c r="N35" s="2">
        <v>102</v>
      </c>
      <c r="O35" s="2">
        <v>96.5</v>
      </c>
      <c r="P35" s="2">
        <v>104.2</v>
      </c>
      <c r="Q35" s="4">
        <v>0.54800000000000004</v>
      </c>
      <c r="R35" s="4">
        <v>0.53700000000000003</v>
      </c>
      <c r="S35" s="4">
        <v>0.51600000000000001</v>
      </c>
      <c r="T35" s="4">
        <v>0.54300000000000004</v>
      </c>
      <c r="U35" s="19">
        <f>Table2[[#This Row],[NET PF]]/Table2[[#This Row],[HOME GAMES]]</f>
        <v>-1.0285714285714285</v>
      </c>
      <c r="V35" s="28">
        <f>393/Table2[[#This Row],[AWAY GAMES]]</f>
        <v>2.9772727272727271</v>
      </c>
      <c r="W35" s="4">
        <v>0.69099999999999995</v>
      </c>
      <c r="X35" s="4">
        <v>0.72899999999999998</v>
      </c>
      <c r="Y35" s="2">
        <v>-144</v>
      </c>
      <c r="Z35" s="2">
        <v>385</v>
      </c>
      <c r="AA35" s="8">
        <f>Table2[[#This Row],[HOME MARGIN]]/Table2[[#This Row],[HOME GAMES]]</f>
        <v>7.5214285714285714</v>
      </c>
      <c r="AB35" s="8">
        <f>Table2[[#This Row],[AWAY MARGIN]]/Table2[[#This Row],[AWAY GAMES]]</f>
        <v>-1.6893939393939394</v>
      </c>
      <c r="AC35" s="8">
        <f>Table2[[#This Row],[HOME MARGIN/GAME]]-Table2[[#This Row],[AWAY MARGIN/GAME]]</f>
        <v>9.2108225108225099</v>
      </c>
      <c r="AD35" s="23">
        <f>Table2[[#This Row],[HOME W/L%]]-Table2[[#This Row],[AWAY W/L%]]</f>
        <v>0.18700000000000006</v>
      </c>
      <c r="AE35" s="22"/>
      <c r="AF35"/>
    </row>
    <row r="36" spans="1:32" ht="16" customHeight="1" x14ac:dyDescent="0.2">
      <c r="A36" s="1">
        <v>116</v>
      </c>
      <c r="B36" s="1">
        <v>48</v>
      </c>
      <c r="C36" s="2" t="s">
        <v>179</v>
      </c>
      <c r="D36" s="2" t="str">
        <f>IF(COUNTIF($AG$3:$AG$20,C36)&gt;0,$AG$2,
 IF(COUNTIF($AH$3:$AH$20,C36)&gt;0,$AH$2,
 IF(COUNTIF($AI$3:$AI$20,C36)&gt;0,$AI$2,
 IF(COUNTIF($AJ$3:$AJ$20,C36)&gt;0,$AJ$2,
 IF(COUNTIF($AK$3:$AK$20,C36)&gt;0,$AK$2,
 IF(COUNTIF($AL$3:$AL$20,C36)&gt;0,$AL$2,
 IF(COUNTIF($AM$3:$AM$20,C36)&gt;0,$AM$2,"Not Found")))))))</f>
        <v>Big East</v>
      </c>
      <c r="E36" s="2" t="s">
        <v>10</v>
      </c>
      <c r="F36" s="2" t="s">
        <v>11</v>
      </c>
      <c r="G36" s="2">
        <v>160</v>
      </c>
      <c r="H36" s="2">
        <v>1402</v>
      </c>
      <c r="I36" s="2">
        <v>108</v>
      </c>
      <c r="J36" s="2">
        <v>-537</v>
      </c>
      <c r="K36" s="4">
        <v>0.71299999999999997</v>
      </c>
      <c r="L36" s="4">
        <v>0.32400000000000001</v>
      </c>
      <c r="M36" s="2">
        <v>110</v>
      </c>
      <c r="N36" s="2">
        <v>97.9</v>
      </c>
      <c r="O36" s="2">
        <v>97.4</v>
      </c>
      <c r="P36" s="2">
        <v>105.1</v>
      </c>
      <c r="Q36" s="4">
        <v>0.57599999999999996</v>
      </c>
      <c r="R36" s="4">
        <v>0.51600000000000001</v>
      </c>
      <c r="S36" s="4">
        <v>0.52100000000000002</v>
      </c>
      <c r="T36" s="4">
        <v>0.54900000000000004</v>
      </c>
      <c r="U36" s="19">
        <f>Table2[[#This Row],[NET PF]]/Table2[[#This Row],[HOME GAMES]]</f>
        <v>-2</v>
      </c>
      <c r="V36" s="28">
        <f>393/Table2[[#This Row],[AWAY GAMES]]</f>
        <v>3.6388888888888888</v>
      </c>
      <c r="W36" s="4">
        <v>0.71499999999999997</v>
      </c>
      <c r="X36" s="4">
        <v>0.72699999999999998</v>
      </c>
      <c r="Y36" s="2">
        <v>-320</v>
      </c>
      <c r="Z36" s="2">
        <v>165</v>
      </c>
      <c r="AA36" s="8">
        <f>Table2[[#This Row],[HOME MARGIN]]/Table2[[#This Row],[HOME GAMES]]</f>
        <v>8.7624999999999993</v>
      </c>
      <c r="AB36" s="8">
        <f>Table2[[#This Row],[AWAY MARGIN]]/Table2[[#This Row],[AWAY GAMES]]</f>
        <v>-4.9722222222222223</v>
      </c>
      <c r="AC36" s="8">
        <f>Table2[[#This Row],[HOME MARGIN/GAME]]-Table2[[#This Row],[AWAY MARGIN/GAME]]</f>
        <v>13.734722222222221</v>
      </c>
      <c r="AD36" s="23">
        <f>Table2[[#This Row],[HOME W/L%]]-Table2[[#This Row],[AWAY W/L%]]</f>
        <v>0.38899999999999996</v>
      </c>
      <c r="AE36" s="22"/>
      <c r="AF36"/>
    </row>
    <row r="37" spans="1:32" hidden="1" x14ac:dyDescent="0.2">
      <c r="A37" s="1">
        <v>361</v>
      </c>
      <c r="B37" s="1"/>
      <c r="C37" s="2" t="s">
        <v>243</v>
      </c>
      <c r="D37" s="2" t="str">
        <f>IF(COUNTIF($AG$3:$AG$20,C37)&gt;0,$AG$2,
 IF(COUNTIF($AH$3:$AH$20,C37)&gt;0,$AH$2,
 IF(COUNTIF($AI$3:$AI$20,C37)&gt;0,$AI$2,
 IF(COUNTIF($AJ$3:$AJ$20,C37)&gt;0,$AJ$2,
 IF(COUNTIF($AK$3:$AK$20,C37)&gt;0,$AK$2,
 IF(COUNTIF($AL$3:$AL$20,C37)&gt;0,$AL$2,
 IF(COUNTIF($AM$3:$AM$20,C37)&gt;0,$AM$2,"Not Found")))))))</f>
        <v>Not Found</v>
      </c>
      <c r="E37" s="2" t="s">
        <v>10</v>
      </c>
      <c r="F37" s="2" t="s">
        <v>11</v>
      </c>
      <c r="G37" s="2">
        <v>129</v>
      </c>
      <c r="H37" s="2">
        <v>-136</v>
      </c>
      <c r="I37" s="2">
        <v>148</v>
      </c>
      <c r="J37" s="2">
        <v>-1619</v>
      </c>
      <c r="K37" s="4">
        <v>0.41899999999999998</v>
      </c>
      <c r="L37" s="4">
        <v>0.122</v>
      </c>
      <c r="M37" s="2">
        <v>99.6</v>
      </c>
      <c r="N37" s="2">
        <v>93.1</v>
      </c>
      <c r="O37" s="2">
        <v>101.1</v>
      </c>
      <c r="P37" s="2">
        <v>108.8</v>
      </c>
      <c r="Q37" s="4">
        <v>0.52400000000000002</v>
      </c>
      <c r="R37" s="4">
        <v>0.50600000000000001</v>
      </c>
      <c r="S37" s="4">
        <v>0.53600000000000003</v>
      </c>
      <c r="T37" s="4">
        <v>0.56399999999999995</v>
      </c>
      <c r="U37" s="19">
        <f>Table2[[#This Row],[NET PF]]/Table2[[#This Row],[HOME GAMES]]</f>
        <v>1.5503875968992248E-2</v>
      </c>
      <c r="V37" s="28">
        <f>393/Table2[[#This Row],[AWAY GAMES]]</f>
        <v>2.6554054054054053</v>
      </c>
      <c r="W37" s="4">
        <v>0.71899999999999997</v>
      </c>
      <c r="X37" s="4">
        <v>0.72699999999999998</v>
      </c>
      <c r="Y37" s="2">
        <v>2</v>
      </c>
      <c r="Z37" s="2">
        <v>445</v>
      </c>
      <c r="AA37" s="8">
        <f>Table2[[#This Row],[HOME MARGIN]]/Table2[[#This Row],[HOME GAMES]]</f>
        <v>-1.054263565891473</v>
      </c>
      <c r="AB37" s="8">
        <f>Table2[[#This Row],[AWAY MARGIN]]/Table2[[#This Row],[AWAY GAMES]]</f>
        <v>-10.939189189189189</v>
      </c>
      <c r="AC37" s="8">
        <f>Table2[[#This Row],[HOME MARGIN/GAME]]-Table2[[#This Row],[AWAY MARGIN/GAME]]</f>
        <v>9.8849256232977165</v>
      </c>
      <c r="AD37" s="23">
        <f>Table2[[#This Row],[HOME W/L%]]-Table2[[#This Row],[AWAY W/L%]]</f>
        <v>0.29699999999999999</v>
      </c>
      <c r="AE37" s="22"/>
      <c r="AF37"/>
    </row>
    <row r="38" spans="1:32" ht="16" hidden="1" customHeight="1" x14ac:dyDescent="0.2">
      <c r="A38" s="1">
        <v>132</v>
      </c>
      <c r="B38" s="1"/>
      <c r="C38" s="2" t="s">
        <v>337</v>
      </c>
      <c r="D38" s="2" t="str">
        <f>IF(COUNTIF($AG$3:$AG$20,C38)&gt;0,$AG$2,
 IF(COUNTIF($AH$3:$AH$20,C38)&gt;0,$AH$2,
 IF(COUNTIF($AI$3:$AI$20,C38)&gt;0,$AI$2,
 IF(COUNTIF($AJ$3:$AJ$20,C38)&gt;0,$AJ$2,
 IF(COUNTIF($AK$3:$AK$20,C38)&gt;0,$AK$2,
 IF(COUNTIF($AL$3:$AL$20,C38)&gt;0,$AL$2,
 IF(COUNTIF($AM$3:$AM$20,C38)&gt;0,$AM$2,"Not Found")))))))</f>
        <v>Not Found</v>
      </c>
      <c r="E38" s="2" t="s">
        <v>10</v>
      </c>
      <c r="F38" s="2" t="s">
        <v>11</v>
      </c>
      <c r="G38" s="2">
        <v>136</v>
      </c>
      <c r="H38" s="2">
        <v>1345</v>
      </c>
      <c r="I38" s="2">
        <v>144</v>
      </c>
      <c r="J38" s="2">
        <v>-884</v>
      </c>
      <c r="K38" s="4">
        <v>0.67600000000000005</v>
      </c>
      <c r="L38" s="4">
        <v>0.29899999999999999</v>
      </c>
      <c r="M38" s="2">
        <v>108</v>
      </c>
      <c r="N38" s="2">
        <v>93.9</v>
      </c>
      <c r="O38" s="2">
        <v>93.6</v>
      </c>
      <c r="P38" s="2">
        <v>102.9</v>
      </c>
      <c r="Q38" s="4">
        <v>0.54400000000000004</v>
      </c>
      <c r="R38" s="4">
        <v>0.48699999999999999</v>
      </c>
      <c r="S38" s="4">
        <v>0.52400000000000002</v>
      </c>
      <c r="T38" s="4">
        <v>0.55300000000000005</v>
      </c>
      <c r="U38" s="19">
        <f>Table2[[#This Row],[NET PF]]/Table2[[#This Row],[HOME GAMES]]</f>
        <v>1.2352941176470589</v>
      </c>
      <c r="V38" s="28">
        <f>393/Table2[[#This Row],[AWAY GAMES]]</f>
        <v>2.7291666666666665</v>
      </c>
      <c r="W38" s="4">
        <v>0.70299999999999996</v>
      </c>
      <c r="X38" s="4">
        <v>0.72799999999999998</v>
      </c>
      <c r="Y38" s="2">
        <v>168</v>
      </c>
      <c r="Z38" s="2">
        <v>578</v>
      </c>
      <c r="AA38" s="8">
        <f>Table2[[#This Row],[HOME MARGIN]]/Table2[[#This Row],[HOME GAMES]]</f>
        <v>9.889705882352942</v>
      </c>
      <c r="AB38" s="8">
        <f>Table2[[#This Row],[AWAY MARGIN]]/Table2[[#This Row],[AWAY GAMES]]</f>
        <v>-6.1388888888888893</v>
      </c>
      <c r="AC38" s="8">
        <f>Table2[[#This Row],[HOME MARGIN/GAME]]-Table2[[#This Row],[AWAY MARGIN/GAME]]</f>
        <v>16.028594771241831</v>
      </c>
      <c r="AD38" s="23">
        <f>Table2[[#This Row],[HOME W/L%]]-Table2[[#This Row],[AWAY W/L%]]</f>
        <v>0.37700000000000006</v>
      </c>
      <c r="AE38" s="22"/>
      <c r="AF38"/>
    </row>
    <row r="39" spans="1:32" ht="16" hidden="1" customHeight="1" x14ac:dyDescent="0.2">
      <c r="A39" s="1">
        <v>270</v>
      </c>
      <c r="B39" s="1"/>
      <c r="C39" s="2" t="s">
        <v>345</v>
      </c>
      <c r="D39" s="2" t="str">
        <f>IF(COUNTIF($AG$3:$AG$20,C39)&gt;0,$AG$2,
 IF(COUNTIF($AH$3:$AH$20,C39)&gt;0,$AH$2,
 IF(COUNTIF($AI$3:$AI$20,C39)&gt;0,$AI$2,
 IF(COUNTIF($AJ$3:$AJ$20,C39)&gt;0,$AJ$2,
 IF(COUNTIF($AK$3:$AK$20,C39)&gt;0,$AK$2,
 IF(COUNTIF($AL$3:$AL$20,C39)&gt;0,$AL$2,
 IF(COUNTIF($AM$3:$AM$20,C39)&gt;0,$AM$2,"Not Found")))))))</f>
        <v>Not Found</v>
      </c>
      <c r="E39" s="2" t="s">
        <v>10</v>
      </c>
      <c r="F39" s="2" t="s">
        <v>11</v>
      </c>
      <c r="G39" s="2">
        <v>131</v>
      </c>
      <c r="H39" s="2">
        <v>632</v>
      </c>
      <c r="I39" s="2">
        <v>138</v>
      </c>
      <c r="J39" s="2">
        <v>-825</v>
      </c>
      <c r="K39" s="4">
        <v>0.60299999999999998</v>
      </c>
      <c r="L39" s="4">
        <v>0.34100000000000003</v>
      </c>
      <c r="M39" s="2">
        <v>103.1</v>
      </c>
      <c r="N39" s="2">
        <v>95.8</v>
      </c>
      <c r="O39" s="2">
        <v>96.3</v>
      </c>
      <c r="P39" s="2">
        <v>104.1</v>
      </c>
      <c r="Q39" s="4">
        <v>0.54500000000000004</v>
      </c>
      <c r="R39" s="4">
        <v>0.52300000000000002</v>
      </c>
      <c r="S39" s="4">
        <v>0.51900000000000002</v>
      </c>
      <c r="T39" s="4">
        <v>0.54900000000000004</v>
      </c>
      <c r="U39" s="19">
        <f>Table2[[#This Row],[NET PF]]/Table2[[#This Row],[HOME GAMES]]</f>
        <v>-1.7251908396946565</v>
      </c>
      <c r="V39" s="28">
        <f>393/Table2[[#This Row],[AWAY GAMES]]</f>
        <v>2.847826086956522</v>
      </c>
      <c r="W39" s="4">
        <v>0.72399999999999998</v>
      </c>
      <c r="X39" s="4">
        <v>0.71499999999999997</v>
      </c>
      <c r="Y39" s="2">
        <v>-226</v>
      </c>
      <c r="Z39" s="2">
        <v>-54</v>
      </c>
      <c r="AA39" s="8">
        <f>Table2[[#This Row],[HOME MARGIN]]/Table2[[#This Row],[HOME GAMES]]</f>
        <v>4.8244274809160306</v>
      </c>
      <c r="AB39" s="8">
        <f>Table2[[#This Row],[AWAY MARGIN]]/Table2[[#This Row],[AWAY GAMES]]</f>
        <v>-5.9782608695652177</v>
      </c>
      <c r="AC39" s="8">
        <f>Table2[[#This Row],[HOME MARGIN/GAME]]-Table2[[#This Row],[AWAY MARGIN/GAME]]</f>
        <v>10.802688350481247</v>
      </c>
      <c r="AD39" s="23">
        <f>Table2[[#This Row],[HOME W/L%]]-Table2[[#This Row],[AWAY W/L%]]</f>
        <v>0.26199999999999996</v>
      </c>
      <c r="AE39" s="22"/>
      <c r="AF39"/>
    </row>
    <row r="40" spans="1:32" ht="16" hidden="1" customHeight="1" x14ac:dyDescent="0.2">
      <c r="A40" s="1">
        <v>340</v>
      </c>
      <c r="B40" s="1"/>
      <c r="C40" s="2" t="s">
        <v>317</v>
      </c>
      <c r="D40" s="2" t="str">
        <f>IF(COUNTIF($AG$3:$AG$20,C40)&gt;0,$AG$2,
 IF(COUNTIF($AH$3:$AH$20,C40)&gt;0,$AH$2,
 IF(COUNTIF($AI$3:$AI$20,C40)&gt;0,$AI$2,
 IF(COUNTIF($AJ$3:$AJ$20,C40)&gt;0,$AJ$2,
 IF(COUNTIF($AK$3:$AK$20,C40)&gt;0,$AK$2,
 IF(COUNTIF($AL$3:$AL$20,C40)&gt;0,$AL$2,
 IF(COUNTIF($AM$3:$AM$20,C40)&gt;0,$AM$2,"Not Found")))))))</f>
        <v>Not Found</v>
      </c>
      <c r="E40" s="2" t="s">
        <v>10</v>
      </c>
      <c r="F40" s="2" t="s">
        <v>11</v>
      </c>
      <c r="G40" s="2">
        <v>139</v>
      </c>
      <c r="H40" s="2">
        <v>196</v>
      </c>
      <c r="I40" s="2">
        <v>142</v>
      </c>
      <c r="J40" s="2">
        <v>-978</v>
      </c>
      <c r="K40" s="4">
        <v>0.48199999999999998</v>
      </c>
      <c r="L40" s="4">
        <v>0.317</v>
      </c>
      <c r="M40" s="2">
        <v>102.8</v>
      </c>
      <c r="N40" s="2">
        <v>97.6</v>
      </c>
      <c r="O40" s="2">
        <v>100.9</v>
      </c>
      <c r="P40" s="2">
        <v>107.2</v>
      </c>
      <c r="Q40" s="4">
        <v>0.53800000000000003</v>
      </c>
      <c r="R40" s="4">
        <v>0.51700000000000002</v>
      </c>
      <c r="S40" s="4">
        <v>0.53300000000000003</v>
      </c>
      <c r="T40" s="4">
        <v>0.56100000000000005</v>
      </c>
      <c r="U40" s="19">
        <f>Table2[[#This Row],[NET PF]]/Table2[[#This Row],[HOME GAMES]]</f>
        <v>-5.7553956834532377E-2</v>
      </c>
      <c r="V40" s="28">
        <f>393/Table2[[#This Row],[AWAY GAMES]]</f>
        <v>2.767605633802817</v>
      </c>
      <c r="W40" s="4">
        <v>0.72799999999999998</v>
      </c>
      <c r="X40" s="4">
        <v>0.73899999999999999</v>
      </c>
      <c r="Y40" s="2">
        <v>-8</v>
      </c>
      <c r="Z40" s="2">
        <v>181</v>
      </c>
      <c r="AA40" s="8">
        <f>Table2[[#This Row],[HOME MARGIN]]/Table2[[#This Row],[HOME GAMES]]</f>
        <v>1.4100719424460431</v>
      </c>
      <c r="AB40" s="8">
        <f>Table2[[#This Row],[AWAY MARGIN]]/Table2[[#This Row],[AWAY GAMES]]</f>
        <v>-6.887323943661972</v>
      </c>
      <c r="AC40" s="8">
        <f>Table2[[#This Row],[HOME MARGIN/GAME]]-Table2[[#This Row],[AWAY MARGIN/GAME]]</f>
        <v>8.2973958861080153</v>
      </c>
      <c r="AD40" s="23">
        <f>Table2[[#This Row],[HOME W/L%]]-Table2[[#This Row],[AWAY W/L%]]</f>
        <v>0.16499999999999998</v>
      </c>
      <c r="AE40" s="22"/>
      <c r="AF40"/>
    </row>
    <row r="41" spans="1:32" ht="16" customHeight="1" x14ac:dyDescent="0.2">
      <c r="A41" s="1">
        <v>310</v>
      </c>
      <c r="B41" s="1">
        <v>77</v>
      </c>
      <c r="C41" s="2" t="s">
        <v>281</v>
      </c>
      <c r="D41" s="2" t="str">
        <f>IF(COUNTIF($AG$3:$AG$20,C41)&gt;0,$AG$2,
 IF(COUNTIF($AH$3:$AH$20,C41)&gt;0,$AH$2,
 IF(COUNTIF($AI$3:$AI$20,C41)&gt;0,$AI$2,
 IF(COUNTIF($AJ$3:$AJ$20,C41)&gt;0,$AJ$2,
 IF(COUNTIF($AK$3:$AK$20,C41)&gt;0,$AK$2,
 IF(COUNTIF($AL$3:$AL$20,C41)&gt;0,$AL$2,
 IF(COUNTIF($AM$3:$AM$20,C41)&gt;0,$AM$2,"Not Found")))))))</f>
        <v>ACC</v>
      </c>
      <c r="E41" s="2" t="s">
        <v>10</v>
      </c>
      <c r="F41" s="2" t="s">
        <v>11</v>
      </c>
      <c r="G41" s="2">
        <v>168</v>
      </c>
      <c r="H41" s="2">
        <v>392</v>
      </c>
      <c r="I41" s="2">
        <v>112</v>
      </c>
      <c r="J41" s="2">
        <v>-1199</v>
      </c>
      <c r="K41" s="4">
        <v>0.57699999999999996</v>
      </c>
      <c r="L41" s="4">
        <v>0.17899999999999999</v>
      </c>
      <c r="M41" s="2">
        <v>103.4</v>
      </c>
      <c r="N41" s="2">
        <v>91.8</v>
      </c>
      <c r="O41" s="2">
        <v>100</v>
      </c>
      <c r="P41" s="2">
        <v>107.3</v>
      </c>
      <c r="Q41" s="4">
        <v>0.53600000000000003</v>
      </c>
      <c r="R41" s="4">
        <v>0.48899999999999999</v>
      </c>
      <c r="S41" s="4">
        <v>0.52700000000000002</v>
      </c>
      <c r="T41" s="4">
        <v>0.56499999999999995</v>
      </c>
      <c r="U41" s="19">
        <f>Table2[[#This Row],[NET PF]]/Table2[[#This Row],[HOME GAMES]]</f>
        <v>-0.98809523809523814</v>
      </c>
      <c r="V41" s="28">
        <f>393/Table2[[#This Row],[AWAY GAMES]]</f>
        <v>3.5089285714285716</v>
      </c>
      <c r="W41" s="4">
        <v>0.72499999999999998</v>
      </c>
      <c r="X41" s="4">
        <v>0.71499999999999997</v>
      </c>
      <c r="Y41" s="2">
        <v>-166</v>
      </c>
      <c r="Z41" s="2">
        <v>284</v>
      </c>
      <c r="AA41" s="8">
        <f>Table2[[#This Row],[HOME MARGIN]]/Table2[[#This Row],[HOME GAMES]]</f>
        <v>2.3333333333333335</v>
      </c>
      <c r="AB41" s="8">
        <f>Table2[[#This Row],[AWAY MARGIN]]/Table2[[#This Row],[AWAY GAMES]]</f>
        <v>-10.705357142857142</v>
      </c>
      <c r="AC41" s="8">
        <f>Table2[[#This Row],[HOME MARGIN/GAME]]-Table2[[#This Row],[AWAY MARGIN/GAME]]</f>
        <v>13.038690476190476</v>
      </c>
      <c r="AD41" s="23">
        <f>Table2[[#This Row],[HOME W/L%]]-Table2[[#This Row],[AWAY W/L%]]</f>
        <v>0.39799999999999996</v>
      </c>
      <c r="AE41" s="22"/>
      <c r="AF41"/>
    </row>
    <row r="42" spans="1:32" hidden="1" x14ac:dyDescent="0.2">
      <c r="A42" s="1">
        <v>130</v>
      </c>
      <c r="B42" s="1"/>
      <c r="C42" s="2" t="s">
        <v>119</v>
      </c>
      <c r="D42" s="2" t="str">
        <f>IF(COUNTIF($AG$3:$AG$20,C42)&gt;0,$AG$2,
 IF(COUNTIF($AH$3:$AH$20,C42)&gt;0,$AH$2,
 IF(COUNTIF($AI$3:$AI$20,C42)&gt;0,$AI$2,
 IF(COUNTIF($AJ$3:$AJ$20,C42)&gt;0,$AJ$2,
 IF(COUNTIF($AK$3:$AK$20,C42)&gt;0,$AK$2,
 IF(COUNTIF($AL$3:$AL$20,C42)&gt;0,$AL$2,
 IF(COUNTIF($AM$3:$AM$20,C42)&gt;0,$AM$2,"Not Found")))))))</f>
        <v>Not Found</v>
      </c>
      <c r="E42" s="2" t="s">
        <v>120</v>
      </c>
      <c r="F42" s="2" t="s">
        <v>11</v>
      </c>
      <c r="G42" s="2">
        <v>119</v>
      </c>
      <c r="H42" s="2">
        <v>1348</v>
      </c>
      <c r="I42" s="2">
        <v>81</v>
      </c>
      <c r="J42" s="2">
        <v>-340</v>
      </c>
      <c r="K42" s="4">
        <v>0.68899999999999995</v>
      </c>
      <c r="L42" s="4">
        <v>0.38300000000000001</v>
      </c>
      <c r="M42" s="2">
        <v>110.9</v>
      </c>
      <c r="N42" s="2">
        <v>97.1</v>
      </c>
      <c r="O42" s="2">
        <v>94.9</v>
      </c>
      <c r="P42" s="2">
        <v>103.2</v>
      </c>
      <c r="Q42" s="4">
        <v>0.56699999999999995</v>
      </c>
      <c r="R42" s="4">
        <v>0.51300000000000001</v>
      </c>
      <c r="S42" s="4">
        <v>0.498</v>
      </c>
      <c r="T42" s="4">
        <v>0.53500000000000003</v>
      </c>
      <c r="U42" s="19">
        <f>Table2[[#This Row],[NET PF]]/Table2[[#This Row],[HOME GAMES]]</f>
        <v>-1.7058823529411764</v>
      </c>
      <c r="V42" s="28">
        <f>393/Table2[[#This Row],[AWAY GAMES]]</f>
        <v>4.8518518518518521</v>
      </c>
      <c r="W42" s="4">
        <v>0.68100000000000005</v>
      </c>
      <c r="X42" s="4">
        <v>0.70899999999999996</v>
      </c>
      <c r="Y42" s="2">
        <v>-203</v>
      </c>
      <c r="Z42" s="2">
        <v>112</v>
      </c>
      <c r="AA42" s="8">
        <f>Table2[[#This Row],[HOME MARGIN]]/Table2[[#This Row],[HOME GAMES]]</f>
        <v>11.327731092436975</v>
      </c>
      <c r="AB42" s="8">
        <f>Table2[[#This Row],[AWAY MARGIN]]/Table2[[#This Row],[AWAY GAMES]]</f>
        <v>-4.1975308641975309</v>
      </c>
      <c r="AC42" s="8">
        <f>Table2[[#This Row],[HOME MARGIN/GAME]]-Table2[[#This Row],[AWAY MARGIN/GAME]]</f>
        <v>15.525261956634505</v>
      </c>
      <c r="AD42" s="23">
        <f>Table2[[#This Row],[HOME W/L%]]-Table2[[#This Row],[AWAY W/L%]]</f>
        <v>0.30599999999999994</v>
      </c>
      <c r="AE42" s="22"/>
      <c r="AF42"/>
    </row>
    <row r="43" spans="1:32" ht="16" hidden="1" customHeight="1" x14ac:dyDescent="0.2">
      <c r="A43" s="1">
        <v>167</v>
      </c>
      <c r="B43" s="1"/>
      <c r="C43" s="2" t="s">
        <v>156</v>
      </c>
      <c r="D43" s="2" t="str">
        <f>IF(COUNTIF($AG$3:$AG$20,C43)&gt;0,$AG$2,
 IF(COUNTIF($AH$3:$AH$20,C43)&gt;0,$AH$2,
 IF(COUNTIF($AI$3:$AI$20,C43)&gt;0,$AI$2,
 IF(COUNTIF($AJ$3:$AJ$20,C43)&gt;0,$AJ$2,
 IF(COUNTIF($AK$3:$AK$20,C43)&gt;0,$AK$2,
 IF(COUNTIF($AL$3:$AL$20,C43)&gt;0,$AL$2,
 IF(COUNTIF($AM$3:$AM$20,C43)&gt;0,$AM$2,"Not Found")))))))</f>
        <v>Not Found</v>
      </c>
      <c r="E43" s="2" t="s">
        <v>10</v>
      </c>
      <c r="F43" s="2" t="s">
        <v>11</v>
      </c>
      <c r="G43" s="2">
        <v>143</v>
      </c>
      <c r="H43" s="2">
        <v>1154</v>
      </c>
      <c r="I43" s="2">
        <v>136</v>
      </c>
      <c r="J43" s="2">
        <v>-452</v>
      </c>
      <c r="K43" s="4">
        <v>0.629</v>
      </c>
      <c r="L43" s="4">
        <v>0.36</v>
      </c>
      <c r="M43" s="2">
        <v>108.4</v>
      </c>
      <c r="N43" s="2">
        <v>100.2</v>
      </c>
      <c r="O43" s="2">
        <v>96.5</v>
      </c>
      <c r="P43" s="2">
        <v>105</v>
      </c>
      <c r="Q43" s="4">
        <v>0.58099999999999996</v>
      </c>
      <c r="R43" s="4">
        <v>0.54400000000000004</v>
      </c>
      <c r="S43" s="4">
        <v>0.52100000000000002</v>
      </c>
      <c r="T43" s="4">
        <v>0.55500000000000005</v>
      </c>
      <c r="U43" s="19">
        <f>Table2[[#This Row],[NET PF]]/Table2[[#This Row],[HOME GAMES]]</f>
        <v>-1.5734265734265733</v>
      </c>
      <c r="V43" s="28">
        <f>393/Table2[[#This Row],[AWAY GAMES]]</f>
        <v>2.8897058823529411</v>
      </c>
      <c r="W43" s="4">
        <v>0.69899999999999995</v>
      </c>
      <c r="X43" s="4">
        <v>0.70699999999999996</v>
      </c>
      <c r="Y43" s="2">
        <v>-225</v>
      </c>
      <c r="Z43" s="2">
        <v>97</v>
      </c>
      <c r="AA43" s="8">
        <f>Table2[[#This Row],[HOME MARGIN]]/Table2[[#This Row],[HOME GAMES]]</f>
        <v>8.06993006993007</v>
      </c>
      <c r="AB43" s="8">
        <f>Table2[[#This Row],[AWAY MARGIN]]/Table2[[#This Row],[AWAY GAMES]]</f>
        <v>-3.3235294117647061</v>
      </c>
      <c r="AC43" s="8">
        <f>Table2[[#This Row],[HOME MARGIN/GAME]]-Table2[[#This Row],[AWAY MARGIN/GAME]]</f>
        <v>11.393459481694777</v>
      </c>
      <c r="AD43" s="23">
        <f>Table2[[#This Row],[HOME W/L%]]-Table2[[#This Row],[AWAY W/L%]]</f>
        <v>0.26900000000000002</v>
      </c>
      <c r="AE43" s="22"/>
      <c r="AF43"/>
    </row>
    <row r="44" spans="1:32" ht="16" hidden="1" customHeight="1" x14ac:dyDescent="0.2">
      <c r="A44" s="1">
        <v>339</v>
      </c>
      <c r="B44" s="1"/>
      <c r="C44" s="2" t="s">
        <v>341</v>
      </c>
      <c r="D44" s="2" t="str">
        <f>IF(COUNTIF($AG$3:$AG$20,C44)&gt;0,$AG$2,
 IF(COUNTIF($AH$3:$AH$20,C44)&gt;0,$AH$2,
 IF(COUNTIF($AI$3:$AI$20,C44)&gt;0,$AI$2,
 IF(COUNTIF($AJ$3:$AJ$20,C44)&gt;0,$AJ$2,
 IF(COUNTIF($AK$3:$AK$20,C44)&gt;0,$AK$2,
 IF(COUNTIF($AL$3:$AL$20,C44)&gt;0,$AL$2,
 IF(COUNTIF($AM$3:$AM$20,C44)&gt;0,$AM$2,"Not Found")))))))</f>
        <v>Not Found</v>
      </c>
      <c r="E44" s="2" t="s">
        <v>10</v>
      </c>
      <c r="F44" s="2" t="s">
        <v>11</v>
      </c>
      <c r="G44" s="2">
        <v>125</v>
      </c>
      <c r="H44" s="2">
        <v>199</v>
      </c>
      <c r="I44" s="2">
        <v>148</v>
      </c>
      <c r="J44" s="2">
        <v>-843</v>
      </c>
      <c r="K44" s="4">
        <v>0.52800000000000002</v>
      </c>
      <c r="L44" s="4">
        <v>0.318</v>
      </c>
      <c r="M44" s="2">
        <v>104</v>
      </c>
      <c r="N44" s="2">
        <v>99.3</v>
      </c>
      <c r="O44" s="2">
        <v>101.8</v>
      </c>
      <c r="P44" s="2">
        <v>107.4</v>
      </c>
      <c r="Q44" s="4">
        <v>0.54300000000000004</v>
      </c>
      <c r="R44" s="4">
        <v>0.52500000000000002</v>
      </c>
      <c r="S44" s="4">
        <v>0.55000000000000004</v>
      </c>
      <c r="T44" s="4">
        <v>0.57199999999999995</v>
      </c>
      <c r="U44" s="19">
        <f>Table2[[#This Row],[NET PF]]/Table2[[#This Row],[HOME GAMES]]</f>
        <v>-0.25600000000000001</v>
      </c>
      <c r="V44" s="28">
        <f>393/Table2[[#This Row],[AWAY GAMES]]</f>
        <v>2.6554054054054053</v>
      </c>
      <c r="W44" s="4">
        <v>0.72599999999999998</v>
      </c>
      <c r="X44" s="4">
        <v>0.72499999999999998</v>
      </c>
      <c r="Y44" s="2">
        <v>-32</v>
      </c>
      <c r="Z44" s="2">
        <v>316</v>
      </c>
      <c r="AA44" s="8">
        <f>Table2[[#This Row],[HOME MARGIN]]/Table2[[#This Row],[HOME GAMES]]</f>
        <v>1.5920000000000001</v>
      </c>
      <c r="AB44" s="8">
        <f>Table2[[#This Row],[AWAY MARGIN]]/Table2[[#This Row],[AWAY GAMES]]</f>
        <v>-5.6959459459459456</v>
      </c>
      <c r="AC44" s="8">
        <f>Table2[[#This Row],[HOME MARGIN/GAME]]-Table2[[#This Row],[AWAY MARGIN/GAME]]</f>
        <v>7.2879459459459461</v>
      </c>
      <c r="AD44" s="23">
        <f>Table2[[#This Row],[HOME W/L%]]-Table2[[#This Row],[AWAY W/L%]]</f>
        <v>0.21000000000000002</v>
      </c>
      <c r="AE44" s="22"/>
      <c r="AF44"/>
    </row>
    <row r="45" spans="1:32" ht="16" hidden="1" customHeight="1" x14ac:dyDescent="0.2">
      <c r="A45" s="1">
        <v>302</v>
      </c>
      <c r="B45" s="1"/>
      <c r="C45" s="2" t="s">
        <v>223</v>
      </c>
      <c r="D45" s="2" t="str">
        <f>IF(COUNTIF($AG$3:$AG$20,C45)&gt;0,$AG$2,
 IF(COUNTIF($AH$3:$AH$20,C45)&gt;0,$AH$2,
 IF(COUNTIF($AI$3:$AI$20,C45)&gt;0,$AI$2,
 IF(COUNTIF($AJ$3:$AJ$20,C45)&gt;0,$AJ$2,
 IF(COUNTIF($AK$3:$AK$20,C45)&gt;0,$AK$2,
 IF(COUNTIF($AL$3:$AL$20,C45)&gt;0,$AL$2,
 IF(COUNTIF($AM$3:$AM$20,C45)&gt;0,$AM$2,"Not Found")))))))</f>
        <v>Not Found</v>
      </c>
      <c r="E45" s="2" t="s">
        <v>10</v>
      </c>
      <c r="F45" s="2" t="s">
        <v>11</v>
      </c>
      <c r="G45" s="2">
        <v>122</v>
      </c>
      <c r="H45" s="2">
        <v>461</v>
      </c>
      <c r="I45" s="2">
        <v>169</v>
      </c>
      <c r="J45" s="2">
        <v>-2392</v>
      </c>
      <c r="K45" s="4">
        <v>0.51600000000000001</v>
      </c>
      <c r="L45" s="4">
        <v>0.17799999999999999</v>
      </c>
      <c r="M45" s="2">
        <v>104.5</v>
      </c>
      <c r="N45" s="2">
        <v>94.7</v>
      </c>
      <c r="O45" s="2">
        <v>99.4</v>
      </c>
      <c r="P45" s="2">
        <v>113.6</v>
      </c>
      <c r="Q45" s="4">
        <v>0.54600000000000004</v>
      </c>
      <c r="R45" s="4">
        <v>0.51500000000000001</v>
      </c>
      <c r="S45" s="4">
        <v>0.52500000000000002</v>
      </c>
      <c r="T45" s="4">
        <v>0.58499999999999996</v>
      </c>
      <c r="U45" s="19">
        <f>Table2[[#This Row],[NET PF]]/Table2[[#This Row],[HOME GAMES]]</f>
        <v>-0.82786885245901642</v>
      </c>
      <c r="V45" s="28">
        <f>393/Table2[[#This Row],[AWAY GAMES]]</f>
        <v>2.3254437869822486</v>
      </c>
      <c r="W45" s="4">
        <v>0.69199999999999995</v>
      </c>
      <c r="X45" s="4">
        <v>0.71599999999999997</v>
      </c>
      <c r="Y45" s="2">
        <v>-101</v>
      </c>
      <c r="Z45" s="2">
        <v>304</v>
      </c>
      <c r="AA45" s="8">
        <f>Table2[[#This Row],[HOME MARGIN]]/Table2[[#This Row],[HOME GAMES]]</f>
        <v>3.778688524590164</v>
      </c>
      <c r="AB45" s="8">
        <f>Table2[[#This Row],[AWAY MARGIN]]/Table2[[#This Row],[AWAY GAMES]]</f>
        <v>-14.153846153846153</v>
      </c>
      <c r="AC45" s="8">
        <f>Table2[[#This Row],[HOME MARGIN/GAME]]-Table2[[#This Row],[AWAY MARGIN/GAME]]</f>
        <v>17.932534678436319</v>
      </c>
      <c r="AD45" s="23">
        <f>Table2[[#This Row],[HOME W/L%]]-Table2[[#This Row],[AWAY W/L%]]</f>
        <v>0.33800000000000002</v>
      </c>
      <c r="AE45" s="22"/>
      <c r="AF45"/>
    </row>
    <row r="46" spans="1:32" ht="16" hidden="1" customHeight="1" x14ac:dyDescent="0.2">
      <c r="A46" s="1">
        <v>354</v>
      </c>
      <c r="B46" s="1"/>
      <c r="C46" s="2" t="s">
        <v>255</v>
      </c>
      <c r="D46" s="2" t="str">
        <f>IF(COUNTIF($AG$3:$AG$20,C46)&gt;0,$AG$2,
 IF(COUNTIF($AH$3:$AH$20,C46)&gt;0,$AH$2,
 IF(COUNTIF($AI$3:$AI$20,C46)&gt;0,$AI$2,
 IF(COUNTIF($AJ$3:$AJ$20,C46)&gt;0,$AJ$2,
 IF(COUNTIF($AK$3:$AK$20,C46)&gt;0,$AK$2,
 IF(COUNTIF($AL$3:$AL$20,C46)&gt;0,$AL$2,
 IF(COUNTIF($AM$3:$AM$20,C46)&gt;0,$AM$2,"Not Found")))))))</f>
        <v>Not Found</v>
      </c>
      <c r="E46" s="2" t="s">
        <v>10</v>
      </c>
      <c r="F46" s="2" t="s">
        <v>11</v>
      </c>
      <c r="G46" s="2">
        <v>122</v>
      </c>
      <c r="H46" s="2">
        <v>37</v>
      </c>
      <c r="I46" s="2">
        <v>160</v>
      </c>
      <c r="J46" s="2">
        <v>-1452</v>
      </c>
      <c r="K46" s="4">
        <v>0.46700000000000003</v>
      </c>
      <c r="L46" s="4">
        <v>0.28100000000000003</v>
      </c>
      <c r="M46" s="2">
        <v>99.9</v>
      </c>
      <c r="N46" s="2">
        <v>93.9</v>
      </c>
      <c r="O46" s="2">
        <v>99.5</v>
      </c>
      <c r="P46" s="2">
        <v>106.9</v>
      </c>
      <c r="Q46" s="4">
        <v>0.52400000000000002</v>
      </c>
      <c r="R46" s="4">
        <v>0.50800000000000001</v>
      </c>
      <c r="S46" s="4">
        <v>0.52600000000000002</v>
      </c>
      <c r="T46" s="4">
        <v>0.55600000000000005</v>
      </c>
      <c r="U46" s="19">
        <f>Table2[[#This Row],[NET PF]]/Table2[[#This Row],[HOME GAMES]]</f>
        <v>-0.50819672131147542</v>
      </c>
      <c r="V46" s="28">
        <f>393/Table2[[#This Row],[AWAY GAMES]]</f>
        <v>2.4562499999999998</v>
      </c>
      <c r="W46" s="4">
        <v>0.70499999999999996</v>
      </c>
      <c r="X46" s="4">
        <v>0.69299999999999995</v>
      </c>
      <c r="Y46" s="2">
        <v>-62</v>
      </c>
      <c r="Z46" s="2">
        <v>76</v>
      </c>
      <c r="AA46" s="8">
        <f>Table2[[#This Row],[HOME MARGIN]]/Table2[[#This Row],[HOME GAMES]]</f>
        <v>0.30327868852459017</v>
      </c>
      <c r="AB46" s="8">
        <f>Table2[[#This Row],[AWAY MARGIN]]/Table2[[#This Row],[AWAY GAMES]]</f>
        <v>-9.0749999999999993</v>
      </c>
      <c r="AC46" s="8">
        <f>Table2[[#This Row],[HOME MARGIN/GAME]]-Table2[[#This Row],[AWAY MARGIN/GAME]]</f>
        <v>9.3782786885245901</v>
      </c>
      <c r="AD46" s="23">
        <f>Table2[[#This Row],[HOME W/L%]]-Table2[[#This Row],[AWAY W/L%]]</f>
        <v>0.186</v>
      </c>
      <c r="AE46" s="22"/>
      <c r="AF46"/>
    </row>
    <row r="47" spans="1:32" ht="16" hidden="1" customHeight="1" x14ac:dyDescent="0.2">
      <c r="A47" s="1">
        <v>188</v>
      </c>
      <c r="B47" s="1"/>
      <c r="C47" s="2" t="s">
        <v>318</v>
      </c>
      <c r="D47" s="2" t="str">
        <f>IF(COUNTIF($AG$3:$AG$20,C47)&gt;0,$AG$2,
 IF(COUNTIF($AH$3:$AH$20,C47)&gt;0,$AH$2,
 IF(COUNTIF($AI$3:$AI$20,C47)&gt;0,$AI$2,
 IF(COUNTIF($AJ$3:$AJ$20,C47)&gt;0,$AJ$2,
 IF(COUNTIF($AK$3:$AK$20,C47)&gt;0,$AK$2,
 IF(COUNTIF($AL$3:$AL$20,C47)&gt;0,$AL$2,
 IF(COUNTIF($AM$3:$AM$20,C47)&gt;0,$AM$2,"Not Found")))))))</f>
        <v>Not Found</v>
      </c>
      <c r="E47" s="2" t="s">
        <v>10</v>
      </c>
      <c r="F47" s="2" t="s">
        <v>11</v>
      </c>
      <c r="G47" s="2">
        <v>143</v>
      </c>
      <c r="H47" s="2">
        <v>1044</v>
      </c>
      <c r="I47" s="2">
        <v>138</v>
      </c>
      <c r="J47" s="2">
        <v>-972</v>
      </c>
      <c r="K47" s="4">
        <v>0.622</v>
      </c>
      <c r="L47" s="4">
        <v>0.32600000000000001</v>
      </c>
      <c r="M47" s="2">
        <v>108.4</v>
      </c>
      <c r="N47" s="2">
        <v>98.3</v>
      </c>
      <c r="O47" s="2">
        <v>98.5</v>
      </c>
      <c r="P47" s="2">
        <v>108</v>
      </c>
      <c r="Q47" s="4">
        <v>0.55700000000000005</v>
      </c>
      <c r="R47" s="4">
        <v>0.52</v>
      </c>
      <c r="S47" s="4">
        <v>0.52100000000000002</v>
      </c>
      <c r="T47" s="4">
        <v>0.55900000000000005</v>
      </c>
      <c r="U47" s="19">
        <f>Table2[[#This Row],[NET PF]]/Table2[[#This Row],[HOME GAMES]]</f>
        <v>-2.7972027972027971</v>
      </c>
      <c r="V47" s="28">
        <f>393/Table2[[#This Row],[AWAY GAMES]]</f>
        <v>2.847826086956522</v>
      </c>
      <c r="W47" s="4">
        <v>0.70099999999999996</v>
      </c>
      <c r="X47" s="4">
        <v>0.71299999999999997</v>
      </c>
      <c r="Y47" s="2">
        <v>-400</v>
      </c>
      <c r="Z47" s="2">
        <v>62</v>
      </c>
      <c r="AA47" s="8">
        <f>Table2[[#This Row],[HOME MARGIN]]/Table2[[#This Row],[HOME GAMES]]</f>
        <v>7.3006993006993008</v>
      </c>
      <c r="AB47" s="8">
        <f>Table2[[#This Row],[AWAY MARGIN]]/Table2[[#This Row],[AWAY GAMES]]</f>
        <v>-7.0434782608695654</v>
      </c>
      <c r="AC47" s="8">
        <f>Table2[[#This Row],[HOME MARGIN/GAME]]-Table2[[#This Row],[AWAY MARGIN/GAME]]</f>
        <v>14.344177561568866</v>
      </c>
      <c r="AD47" s="23">
        <f>Table2[[#This Row],[HOME W/L%]]-Table2[[#This Row],[AWAY W/L%]]</f>
        <v>0.29599999999999999</v>
      </c>
      <c r="AE47" s="22"/>
      <c r="AF47"/>
    </row>
    <row r="48" spans="1:32" ht="16" hidden="1" customHeight="1" x14ac:dyDescent="0.2">
      <c r="A48" s="1">
        <v>225</v>
      </c>
      <c r="B48" s="1"/>
      <c r="C48" s="2" t="s">
        <v>247</v>
      </c>
      <c r="D48" s="2" t="str">
        <f>IF(COUNTIF($AG$3:$AG$20,C48)&gt;0,$AG$2,
 IF(COUNTIF($AH$3:$AH$20,C48)&gt;0,$AH$2,
 IF(COUNTIF($AI$3:$AI$20,C48)&gt;0,$AI$2,
 IF(COUNTIF($AJ$3:$AJ$20,C48)&gt;0,$AJ$2,
 IF(COUNTIF($AK$3:$AK$20,C48)&gt;0,$AK$2,
 IF(COUNTIF($AL$3:$AL$20,C48)&gt;0,$AL$2,
 IF(COUNTIF($AM$3:$AM$20,C48)&gt;0,$AM$2,"Not Found")))))))</f>
        <v>Not Found</v>
      </c>
      <c r="E48" s="2" t="s">
        <v>10</v>
      </c>
      <c r="F48" s="2" t="s">
        <v>11</v>
      </c>
      <c r="G48" s="2">
        <v>133</v>
      </c>
      <c r="H48" s="2">
        <v>841</v>
      </c>
      <c r="I48" s="2">
        <v>145</v>
      </c>
      <c r="J48" s="2">
        <v>-1530</v>
      </c>
      <c r="K48" s="4">
        <v>0.48899999999999999</v>
      </c>
      <c r="L48" s="4">
        <v>0.22800000000000001</v>
      </c>
      <c r="M48" s="2">
        <v>106.2</v>
      </c>
      <c r="N48" s="2">
        <v>95</v>
      </c>
      <c r="O48" s="2">
        <v>97.4</v>
      </c>
      <c r="P48" s="2">
        <v>110</v>
      </c>
      <c r="Q48" s="4">
        <v>0.54400000000000004</v>
      </c>
      <c r="R48" s="4">
        <v>0.51</v>
      </c>
      <c r="S48" s="4">
        <v>0.53300000000000003</v>
      </c>
      <c r="T48" s="4">
        <v>0.57299999999999995</v>
      </c>
      <c r="U48" s="19">
        <f>Table2[[#This Row],[NET PF]]/Table2[[#This Row],[HOME GAMES]]</f>
        <v>-0.33834586466165412</v>
      </c>
      <c r="V48" s="28">
        <f>393/Table2[[#This Row],[AWAY GAMES]]</f>
        <v>2.7103448275862068</v>
      </c>
      <c r="W48" s="4">
        <v>0.71299999999999997</v>
      </c>
      <c r="X48" s="4">
        <v>0.71399999999999997</v>
      </c>
      <c r="Y48" s="2">
        <v>-45</v>
      </c>
      <c r="Z48" s="2">
        <v>183</v>
      </c>
      <c r="AA48" s="8">
        <f>Table2[[#This Row],[HOME MARGIN]]/Table2[[#This Row],[HOME GAMES]]</f>
        <v>6.3233082706766917</v>
      </c>
      <c r="AB48" s="8">
        <f>Table2[[#This Row],[AWAY MARGIN]]/Table2[[#This Row],[AWAY GAMES]]</f>
        <v>-10.551724137931034</v>
      </c>
      <c r="AC48" s="8">
        <f>Table2[[#This Row],[HOME MARGIN/GAME]]-Table2[[#This Row],[AWAY MARGIN/GAME]]</f>
        <v>16.875032408607726</v>
      </c>
      <c r="AD48" s="23">
        <f>Table2[[#This Row],[HOME W/L%]]-Table2[[#This Row],[AWAY W/L%]]</f>
        <v>0.26100000000000001</v>
      </c>
      <c r="AE48" s="22"/>
      <c r="AF48"/>
    </row>
    <row r="49" spans="1:33" ht="16" hidden="1" customHeight="1" x14ac:dyDescent="0.2">
      <c r="A49" s="1">
        <v>289</v>
      </c>
      <c r="B49" s="1"/>
      <c r="C49" s="2" t="s">
        <v>329</v>
      </c>
      <c r="D49" s="2" t="str">
        <f>IF(COUNTIF($AG$3:$AG$20,C49)&gt;0,$AG$2,
 IF(COUNTIF($AH$3:$AH$20,C49)&gt;0,$AH$2,
 IF(COUNTIF($AI$3:$AI$20,C49)&gt;0,$AI$2,
 IF(COUNTIF($AJ$3:$AJ$20,C49)&gt;0,$AJ$2,
 IF(COUNTIF($AK$3:$AK$20,C49)&gt;0,$AK$2,
 IF(COUNTIF($AL$3:$AL$20,C49)&gt;0,$AL$2,
 IF(COUNTIF($AM$3:$AM$20,C49)&gt;0,$AM$2,"Not Found")))))))</f>
        <v>Not Found</v>
      </c>
      <c r="E49" s="2" t="s">
        <v>10</v>
      </c>
      <c r="F49" s="2" t="s">
        <v>11</v>
      </c>
      <c r="G49" s="2">
        <v>148</v>
      </c>
      <c r="H49" s="2">
        <v>544</v>
      </c>
      <c r="I49" s="2">
        <v>126</v>
      </c>
      <c r="J49" s="2">
        <v>-902</v>
      </c>
      <c r="K49" s="4">
        <v>0.60099999999999998</v>
      </c>
      <c r="L49" s="4">
        <v>0.28599999999999998</v>
      </c>
      <c r="M49" s="2">
        <v>105.2</v>
      </c>
      <c r="N49" s="2">
        <v>98.4</v>
      </c>
      <c r="O49" s="2">
        <v>99.9</v>
      </c>
      <c r="P49" s="2">
        <v>108.9</v>
      </c>
      <c r="Q49" s="4">
        <v>0.56499999999999995</v>
      </c>
      <c r="R49" s="4">
        <v>0.53300000000000003</v>
      </c>
      <c r="S49" s="4">
        <v>0.53300000000000003</v>
      </c>
      <c r="T49" s="4">
        <v>0.56999999999999995</v>
      </c>
      <c r="U49" s="19">
        <f>Table2[[#This Row],[NET PF]]/Table2[[#This Row],[HOME GAMES]]</f>
        <v>-2.3986486486486487</v>
      </c>
      <c r="V49" s="28">
        <f>393/Table2[[#This Row],[AWAY GAMES]]</f>
        <v>3.1190476190476191</v>
      </c>
      <c r="W49" s="4">
        <v>0.71</v>
      </c>
      <c r="X49" s="4">
        <v>0.72599999999999998</v>
      </c>
      <c r="Y49" s="2">
        <v>-355</v>
      </c>
      <c r="Z49" s="2">
        <v>140</v>
      </c>
      <c r="AA49" s="8">
        <f>Table2[[#This Row],[HOME MARGIN]]/Table2[[#This Row],[HOME GAMES]]</f>
        <v>3.6756756756756759</v>
      </c>
      <c r="AB49" s="8">
        <f>Table2[[#This Row],[AWAY MARGIN]]/Table2[[#This Row],[AWAY GAMES]]</f>
        <v>-7.1587301587301591</v>
      </c>
      <c r="AC49" s="8">
        <f>Table2[[#This Row],[HOME MARGIN/GAME]]-Table2[[#This Row],[AWAY MARGIN/GAME]]</f>
        <v>10.834405834405835</v>
      </c>
      <c r="AD49" s="23">
        <f>Table2[[#This Row],[HOME W/L%]]-Table2[[#This Row],[AWAY W/L%]]</f>
        <v>0.315</v>
      </c>
      <c r="AE49" s="22"/>
      <c r="AF49"/>
    </row>
    <row r="50" spans="1:33" ht="16" hidden="1" customHeight="1" x14ac:dyDescent="0.2">
      <c r="A50" s="1">
        <v>107</v>
      </c>
      <c r="B50" s="1"/>
      <c r="C50" s="2" t="s">
        <v>79</v>
      </c>
      <c r="D50" s="2" t="str">
        <f>IF(COUNTIF($AG$3:$AG$20,C50)&gt;0,$AG$2,
 IF(COUNTIF($AH$3:$AH$20,C50)&gt;0,$AH$2,
 IF(COUNTIF($AI$3:$AI$20,C50)&gt;0,$AI$2,
 IF(COUNTIF($AJ$3:$AJ$20,C50)&gt;0,$AJ$2,
 IF(COUNTIF($AK$3:$AK$20,C50)&gt;0,$AK$2,
 IF(COUNTIF($AL$3:$AL$20,C50)&gt;0,$AL$2,
 IF(COUNTIF($AM$3:$AM$20,C50)&gt;0,$AM$2,"Not Found")))))))</f>
        <v>Not Found</v>
      </c>
      <c r="E50" s="2" t="s">
        <v>10</v>
      </c>
      <c r="F50" s="2" t="s">
        <v>11</v>
      </c>
      <c r="G50" s="2">
        <v>147</v>
      </c>
      <c r="H50" s="2">
        <v>1476</v>
      </c>
      <c r="I50" s="2">
        <v>147</v>
      </c>
      <c r="J50" s="2">
        <v>-140</v>
      </c>
      <c r="K50" s="4">
        <v>0.71399999999999997</v>
      </c>
      <c r="L50" s="4">
        <v>0.503</v>
      </c>
      <c r="M50" s="2">
        <v>112.1</v>
      </c>
      <c r="N50" s="2">
        <v>102.7</v>
      </c>
      <c r="O50" s="2">
        <v>97.6</v>
      </c>
      <c r="P50" s="2">
        <v>104</v>
      </c>
      <c r="Q50" s="4">
        <v>0.58299999999999996</v>
      </c>
      <c r="R50" s="4">
        <v>0.54600000000000004</v>
      </c>
      <c r="S50" s="4">
        <v>0.52</v>
      </c>
      <c r="T50" s="4">
        <v>0.54900000000000004</v>
      </c>
      <c r="U50" s="19">
        <f>Table2[[#This Row],[NET PF]]/Table2[[#This Row],[HOME GAMES]]</f>
        <v>-2.8231292517006801</v>
      </c>
      <c r="V50" s="28">
        <f>393/Table2[[#This Row],[AWAY GAMES]]</f>
        <v>2.6734693877551021</v>
      </c>
      <c r="W50" s="4">
        <v>0.72</v>
      </c>
      <c r="X50" s="4">
        <v>0.71099999999999997</v>
      </c>
      <c r="Y50" s="2">
        <v>-415</v>
      </c>
      <c r="Z50" s="2">
        <v>118</v>
      </c>
      <c r="AA50" s="8">
        <f>Table2[[#This Row],[HOME MARGIN]]/Table2[[#This Row],[HOME GAMES]]</f>
        <v>10.040816326530612</v>
      </c>
      <c r="AB50" s="8">
        <f>Table2[[#This Row],[AWAY MARGIN]]/Table2[[#This Row],[AWAY GAMES]]</f>
        <v>-0.95238095238095233</v>
      </c>
      <c r="AC50" s="8">
        <f>Table2[[#This Row],[HOME MARGIN/GAME]]-Table2[[#This Row],[AWAY MARGIN/GAME]]</f>
        <v>10.993197278911564</v>
      </c>
      <c r="AD50" s="23">
        <f>Table2[[#This Row],[HOME W/L%]]-Table2[[#This Row],[AWAY W/L%]]</f>
        <v>0.21099999999999997</v>
      </c>
      <c r="AE50" s="22"/>
      <c r="AF50"/>
    </row>
    <row r="51" spans="1:33" ht="16" hidden="1" customHeight="1" x14ac:dyDescent="0.2">
      <c r="A51" s="1">
        <v>366</v>
      </c>
      <c r="B51" s="1"/>
      <c r="C51" s="2" t="s">
        <v>218</v>
      </c>
      <c r="D51" s="2" t="str">
        <f>IF(COUNTIF($AG$3:$AG$20,C51)&gt;0,$AG$2,
 IF(COUNTIF($AH$3:$AH$20,C51)&gt;0,$AH$2,
 IF(COUNTIF($AI$3:$AI$20,C51)&gt;0,$AI$2,
 IF(COUNTIF($AJ$3:$AJ$20,C51)&gt;0,$AJ$2,
 IF(COUNTIF($AK$3:$AK$20,C51)&gt;0,$AK$2,
 IF(COUNTIF($AL$3:$AL$20,C51)&gt;0,$AL$2,
 IF(COUNTIF($AM$3:$AM$20,C51)&gt;0,$AM$2,"Not Found")))))))</f>
        <v>Not Found</v>
      </c>
      <c r="E51" s="2" t="s">
        <v>10</v>
      </c>
      <c r="F51" s="2" t="s">
        <v>11</v>
      </c>
      <c r="G51" s="2">
        <v>102</v>
      </c>
      <c r="H51" s="2">
        <v>-307</v>
      </c>
      <c r="I51" s="2">
        <v>168</v>
      </c>
      <c r="J51" s="2">
        <v>-3428</v>
      </c>
      <c r="K51" s="4">
        <v>0.373</v>
      </c>
      <c r="L51" s="4">
        <v>8.3000000000000004E-2</v>
      </c>
      <c r="M51" s="2">
        <v>99.8</v>
      </c>
      <c r="N51" s="2">
        <v>85.9</v>
      </c>
      <c r="O51" s="2">
        <v>104</v>
      </c>
      <c r="P51" s="2">
        <v>114.8</v>
      </c>
      <c r="Q51" s="4">
        <v>0.52900000000000003</v>
      </c>
      <c r="R51" s="4">
        <v>0.47099999999999997</v>
      </c>
      <c r="S51" s="4">
        <v>0.56000000000000005</v>
      </c>
      <c r="T51" s="4">
        <v>0.58699999999999997</v>
      </c>
      <c r="U51" s="19">
        <f>Table2[[#This Row],[NET PF]]/Table2[[#This Row],[HOME GAMES]]</f>
        <v>5.8823529411764705E-2</v>
      </c>
      <c r="V51" s="28">
        <f>393/Table2[[#This Row],[AWAY GAMES]]</f>
        <v>2.3392857142857144</v>
      </c>
      <c r="W51" s="4">
        <v>0.71299999999999997</v>
      </c>
      <c r="X51" s="4">
        <v>0.70099999999999996</v>
      </c>
      <c r="Y51" s="2">
        <v>6</v>
      </c>
      <c r="Z51" s="2">
        <v>620</v>
      </c>
      <c r="AA51" s="8">
        <f>Table2[[#This Row],[HOME MARGIN]]/Table2[[#This Row],[HOME GAMES]]</f>
        <v>-3.0098039215686274</v>
      </c>
      <c r="AB51" s="8">
        <f>Table2[[#This Row],[AWAY MARGIN]]/Table2[[#This Row],[AWAY GAMES]]</f>
        <v>-20.404761904761905</v>
      </c>
      <c r="AC51" s="8">
        <f>Table2[[#This Row],[HOME MARGIN/GAME]]-Table2[[#This Row],[AWAY MARGIN/GAME]]</f>
        <v>17.394957983193279</v>
      </c>
      <c r="AD51" s="23">
        <f>Table2[[#This Row],[HOME W/L%]]-Table2[[#This Row],[AWAY W/L%]]</f>
        <v>0.28999999999999998</v>
      </c>
      <c r="AE51" s="22"/>
      <c r="AF51"/>
    </row>
    <row r="52" spans="1:33" x14ac:dyDescent="0.2">
      <c r="A52" s="1">
        <v>13</v>
      </c>
      <c r="B52" s="1">
        <v>13</v>
      </c>
      <c r="C52" s="2" t="s">
        <v>49</v>
      </c>
      <c r="D52" s="2" t="str">
        <f>IF(COUNTIF($AG$3:$AG$20,C52)&gt;0,$AG$2,
 IF(COUNTIF($AH$3:$AH$20,C52)&gt;0,$AH$2,
 IF(COUNTIF($AI$3:$AI$20,C52)&gt;0,$AI$2,
 IF(COUNTIF($AJ$3:$AJ$20,C52)&gt;0,$AJ$2,
 IF(COUNTIF($AK$3:$AK$20,C52)&gt;0,$AK$2,
 IF(COUNTIF($AL$3:$AL$20,C52)&gt;0,$AL$2,
 IF(COUNTIF($AM$3:$AM$20,C52)&gt;0,$AM$2,"Not Found")))))))</f>
        <v>Big 12</v>
      </c>
      <c r="E52" s="2" t="s">
        <v>10</v>
      </c>
      <c r="F52" s="2" t="s">
        <v>11</v>
      </c>
      <c r="G52" s="2">
        <v>166</v>
      </c>
      <c r="H52" s="2">
        <v>2417</v>
      </c>
      <c r="I52" s="2">
        <v>111</v>
      </c>
      <c r="J52" s="2">
        <v>25</v>
      </c>
      <c r="K52" s="4">
        <v>0.80700000000000005</v>
      </c>
      <c r="L52" s="4">
        <v>0.505</v>
      </c>
      <c r="M52" s="2">
        <v>111.4</v>
      </c>
      <c r="N52" s="2">
        <v>97.9</v>
      </c>
      <c r="O52" s="2">
        <v>90.6</v>
      </c>
      <c r="P52" s="2">
        <v>97.6</v>
      </c>
      <c r="Q52" s="4">
        <v>0.55500000000000005</v>
      </c>
      <c r="R52" s="4">
        <v>0.497</v>
      </c>
      <c r="S52" s="4">
        <v>0.48899999999999999</v>
      </c>
      <c r="T52" s="4">
        <v>0.51</v>
      </c>
      <c r="U52" s="19">
        <f>Table2[[#This Row],[NET PF]]/Table2[[#This Row],[HOME GAMES]]</f>
        <v>-2.7951807228915664</v>
      </c>
      <c r="V52" s="28">
        <f>393/Table2[[#This Row],[AWAY GAMES]]</f>
        <v>3.5405405405405403</v>
      </c>
      <c r="W52" s="4">
        <v>0.72199999999999998</v>
      </c>
      <c r="X52" s="4">
        <v>0.71099999999999997</v>
      </c>
      <c r="Y52" s="2">
        <v>-464</v>
      </c>
      <c r="Z52" s="2">
        <v>235</v>
      </c>
      <c r="AA52" s="8">
        <f>Table2[[#This Row],[HOME MARGIN]]/Table2[[#This Row],[HOME GAMES]]</f>
        <v>14.560240963855422</v>
      </c>
      <c r="AB52" s="8">
        <f>Table2[[#This Row],[AWAY MARGIN]]/Table2[[#This Row],[AWAY GAMES]]</f>
        <v>0.22522522522522523</v>
      </c>
      <c r="AC52" s="8">
        <f>Table2[[#This Row],[HOME MARGIN/GAME]]-Table2[[#This Row],[AWAY MARGIN/GAME]]</f>
        <v>14.335015738630197</v>
      </c>
      <c r="AD52" s="23">
        <f>Table2[[#This Row],[HOME W/L%]]-Table2[[#This Row],[AWAY W/L%]]</f>
        <v>0.30200000000000005</v>
      </c>
      <c r="AE52" s="11" t="s">
        <v>421</v>
      </c>
      <c r="AF52"/>
      <c r="AG52" s="44">
        <f>AVERAGE(Table6[Change in W/L%])</f>
        <v>0.35072727272727283</v>
      </c>
    </row>
    <row r="53" spans="1:33" x14ac:dyDescent="0.2">
      <c r="A53" s="1">
        <v>65</v>
      </c>
      <c r="B53" s="1">
        <v>36</v>
      </c>
      <c r="C53" s="2" t="s">
        <v>88</v>
      </c>
      <c r="D53" s="2" t="str">
        <f>IF(COUNTIF($AG$3:$AG$20,C53)&gt;0,$AG$2,
 IF(COUNTIF($AH$3:$AH$20,C53)&gt;0,$AH$2,
 IF(COUNTIF($AI$3:$AI$20,C53)&gt;0,$AI$2,
 IF(COUNTIF($AJ$3:$AJ$20,C53)&gt;0,$AJ$2,
 IF(COUNTIF($AK$3:$AK$20,C53)&gt;0,$AK$2,
 IF(COUNTIF($AL$3:$AL$20,C53)&gt;0,$AL$2,
 IF(COUNTIF($AM$3:$AM$20,C53)&gt;0,$AM$2,"Not Found")))))))</f>
        <v>ACC</v>
      </c>
      <c r="E53" s="2" t="s">
        <v>10</v>
      </c>
      <c r="F53" s="2" t="s">
        <v>11</v>
      </c>
      <c r="G53" s="2">
        <v>160</v>
      </c>
      <c r="H53" s="2">
        <v>1770</v>
      </c>
      <c r="I53" s="2">
        <v>105</v>
      </c>
      <c r="J53" s="2">
        <v>-193</v>
      </c>
      <c r="K53" s="4">
        <v>0.79400000000000004</v>
      </c>
      <c r="L53" s="4">
        <v>0.4</v>
      </c>
      <c r="M53" s="2">
        <v>110.6</v>
      </c>
      <c r="N53" s="2">
        <v>100.9</v>
      </c>
      <c r="O53" s="2">
        <v>94.4</v>
      </c>
      <c r="P53" s="2">
        <v>103.6</v>
      </c>
      <c r="Q53" s="4">
        <v>0.57299999999999995</v>
      </c>
      <c r="R53" s="4">
        <v>0.53400000000000003</v>
      </c>
      <c r="S53" s="4">
        <v>0.505</v>
      </c>
      <c r="T53" s="4">
        <v>0.53900000000000003</v>
      </c>
      <c r="U53" s="19">
        <f>Table2[[#This Row],[NET PF]]/Table2[[#This Row],[HOME GAMES]]</f>
        <v>-2.7625000000000002</v>
      </c>
      <c r="V53" s="28">
        <f>393/Table2[[#This Row],[AWAY GAMES]]</f>
        <v>3.7428571428571429</v>
      </c>
      <c r="W53" s="4">
        <v>0.71899999999999997</v>
      </c>
      <c r="X53" s="4">
        <v>0.73399999999999999</v>
      </c>
      <c r="Y53" s="2">
        <v>-442</v>
      </c>
      <c r="Z53" s="2">
        <v>201</v>
      </c>
      <c r="AA53" s="8">
        <f>Table2[[#This Row],[HOME MARGIN]]/Table2[[#This Row],[HOME GAMES]]</f>
        <v>11.0625</v>
      </c>
      <c r="AB53" s="8">
        <f>Table2[[#This Row],[AWAY MARGIN]]/Table2[[#This Row],[AWAY GAMES]]</f>
        <v>-1.838095238095238</v>
      </c>
      <c r="AC53" s="8">
        <f>Table2[[#This Row],[HOME MARGIN/GAME]]-Table2[[#This Row],[AWAY MARGIN/GAME]]</f>
        <v>12.900595238095239</v>
      </c>
      <c r="AD53" s="23">
        <f>Table2[[#This Row],[HOME W/L%]]-Table2[[#This Row],[AWAY W/L%]]</f>
        <v>0.39400000000000002</v>
      </c>
      <c r="AE53" s="11" t="s">
        <v>422</v>
      </c>
      <c r="AF53"/>
      <c r="AG53" s="45">
        <f>AVERAGE(Table6[DIFF AVG MARGIN])</f>
        <v>13.255981335294871</v>
      </c>
    </row>
    <row r="54" spans="1:33" ht="16" hidden="1" customHeight="1" x14ac:dyDescent="0.2">
      <c r="A54" s="1">
        <v>243</v>
      </c>
      <c r="B54" s="1"/>
      <c r="C54" s="2" t="s">
        <v>298</v>
      </c>
      <c r="D54" s="2" t="str">
        <f>IF(COUNTIF($AG$3:$AG$20,C54)&gt;0,$AG$2,
 IF(COUNTIF($AH$3:$AH$20,C54)&gt;0,$AH$2,
 IF(COUNTIF($AI$3:$AI$20,C54)&gt;0,$AI$2,
 IF(COUNTIF($AJ$3:$AJ$20,C54)&gt;0,$AJ$2,
 IF(COUNTIF($AK$3:$AK$20,C54)&gt;0,$AK$2,
 IF(COUNTIF($AL$3:$AL$20,C54)&gt;0,$AL$2,
 IF(COUNTIF($AM$3:$AM$20,C54)&gt;0,$AM$2,"Not Found")))))))</f>
        <v>Not Found</v>
      </c>
      <c r="E54" s="2" t="s">
        <v>10</v>
      </c>
      <c r="F54" s="2" t="s">
        <v>11</v>
      </c>
      <c r="G54" s="2">
        <v>145</v>
      </c>
      <c r="H54" s="2">
        <v>755</v>
      </c>
      <c r="I54" s="2">
        <v>144</v>
      </c>
      <c r="J54" s="2">
        <v>-1080</v>
      </c>
      <c r="K54" s="4">
        <v>0.628</v>
      </c>
      <c r="L54" s="4">
        <v>0.30599999999999999</v>
      </c>
      <c r="M54" s="2">
        <v>104.6</v>
      </c>
      <c r="N54" s="2">
        <v>96.2</v>
      </c>
      <c r="O54" s="2">
        <v>97.1</v>
      </c>
      <c r="P54" s="2">
        <v>106.8</v>
      </c>
      <c r="Q54" s="4">
        <v>0.53900000000000003</v>
      </c>
      <c r="R54" s="4">
        <v>0.51100000000000001</v>
      </c>
      <c r="S54" s="4">
        <v>0.51700000000000002</v>
      </c>
      <c r="T54" s="4">
        <v>0.56599999999999995</v>
      </c>
      <c r="U54" s="19">
        <f>Table2[[#This Row],[NET PF]]/Table2[[#This Row],[HOME GAMES]]</f>
        <v>-0.2</v>
      </c>
      <c r="V54" s="28">
        <f>393/Table2[[#This Row],[AWAY GAMES]]</f>
        <v>2.7291666666666665</v>
      </c>
      <c r="W54" s="4">
        <v>0.70299999999999996</v>
      </c>
      <c r="X54" s="4">
        <v>0.71299999999999997</v>
      </c>
      <c r="Y54" s="2">
        <v>-29</v>
      </c>
      <c r="Z54" s="2">
        <v>432</v>
      </c>
      <c r="AA54" s="8">
        <f>Table2[[#This Row],[HOME MARGIN]]/Table2[[#This Row],[HOME GAMES]]</f>
        <v>5.2068965517241379</v>
      </c>
      <c r="AB54" s="8">
        <f>Table2[[#This Row],[AWAY MARGIN]]/Table2[[#This Row],[AWAY GAMES]]</f>
        <v>-7.5</v>
      </c>
      <c r="AC54" s="8">
        <f>Table2[[#This Row],[HOME MARGIN/GAME]]-Table2[[#This Row],[AWAY MARGIN/GAME]]</f>
        <v>12.706896551724139</v>
      </c>
      <c r="AD54" s="23">
        <f>Table2[[#This Row],[HOME W/L%]]-Table2[[#This Row],[AWAY W/L%]]</f>
        <v>0.32200000000000001</v>
      </c>
      <c r="AE54" s="22"/>
      <c r="AF54"/>
    </row>
    <row r="55" spans="1:33" ht="16" hidden="1" customHeight="1" x14ac:dyDescent="0.2">
      <c r="A55" s="1">
        <v>131</v>
      </c>
      <c r="B55" s="1"/>
      <c r="C55" s="2" t="s">
        <v>382</v>
      </c>
      <c r="D55" s="2" t="str">
        <f>IF(COUNTIF($AG$3:$AG$20,C55)&gt;0,$AG$2,
 IF(COUNTIF($AH$3:$AH$20,C55)&gt;0,$AH$2,
 IF(COUNTIF($AI$3:$AI$20,C55)&gt;0,$AI$2,
 IF(COUNTIF($AJ$3:$AJ$20,C55)&gt;0,$AJ$2,
 IF(COUNTIF($AK$3:$AK$20,C55)&gt;0,$AK$2,
 IF(COUNTIF($AL$3:$AL$20,C55)&gt;0,$AL$2,
 IF(COUNTIF($AM$3:$AM$20,C55)&gt;0,$AM$2,"Not Found")))))))</f>
        <v>Not Found</v>
      </c>
      <c r="E55" s="2" t="s">
        <v>10</v>
      </c>
      <c r="F55" s="2" t="s">
        <v>11</v>
      </c>
      <c r="G55" s="2">
        <v>157</v>
      </c>
      <c r="H55" s="2">
        <v>1346</v>
      </c>
      <c r="I55" s="2">
        <v>121</v>
      </c>
      <c r="J55" s="2">
        <v>-676</v>
      </c>
      <c r="K55" s="4">
        <v>0.57999999999999996</v>
      </c>
      <c r="L55" s="4">
        <v>0.33100000000000002</v>
      </c>
      <c r="M55" s="2">
        <v>108.4</v>
      </c>
      <c r="N55" s="2">
        <v>99</v>
      </c>
      <c r="O55" s="2">
        <v>96.4</v>
      </c>
      <c r="P55" s="2">
        <v>106.8</v>
      </c>
      <c r="Q55" s="4">
        <v>0.55700000000000005</v>
      </c>
      <c r="R55" s="4">
        <v>0.52200000000000002</v>
      </c>
      <c r="S55" s="4">
        <v>0.5</v>
      </c>
      <c r="T55" s="4">
        <v>0.54600000000000004</v>
      </c>
      <c r="U55" s="19">
        <f>Table2[[#This Row],[NET PF]]/Table2[[#This Row],[HOME GAMES]]</f>
        <v>-1.6815286624203822</v>
      </c>
      <c r="V55" s="28">
        <f>393/Table2[[#This Row],[AWAY GAMES]]</f>
        <v>3.2479338842975207</v>
      </c>
      <c r="W55" s="4">
        <v>0.70599999999999996</v>
      </c>
      <c r="X55" s="4">
        <v>0.71199999999999997</v>
      </c>
      <c r="Y55" s="2">
        <v>-264</v>
      </c>
      <c r="Z55" s="2">
        <v>269</v>
      </c>
      <c r="AA55" s="8">
        <f>Table2[[#This Row],[HOME MARGIN]]/Table2[[#This Row],[HOME GAMES]]</f>
        <v>8.5732484076433124</v>
      </c>
      <c r="AB55" s="8">
        <f>Table2[[#This Row],[AWAY MARGIN]]/Table2[[#This Row],[AWAY GAMES]]</f>
        <v>-5.5867768595041323</v>
      </c>
      <c r="AC55" s="8">
        <f>Table2[[#This Row],[HOME MARGIN/GAME]]-Table2[[#This Row],[AWAY MARGIN/GAME]]</f>
        <v>14.160025267147445</v>
      </c>
      <c r="AD55" s="23">
        <f>Table2[[#This Row],[HOME W/L%]]-Table2[[#This Row],[AWAY W/L%]]</f>
        <v>0.24899999999999994</v>
      </c>
      <c r="AE55" s="22"/>
      <c r="AF55"/>
    </row>
    <row r="56" spans="1:33" ht="16" hidden="1" customHeight="1" x14ac:dyDescent="0.2">
      <c r="A56" s="1">
        <v>143</v>
      </c>
      <c r="B56" s="1"/>
      <c r="C56" s="2" t="s">
        <v>58</v>
      </c>
      <c r="D56" s="2" t="str">
        <f>IF(COUNTIF($AG$3:$AG$20,C56)&gt;0,$AG$2,
 IF(COUNTIF($AH$3:$AH$20,C56)&gt;0,$AH$2,
 IF(COUNTIF($AI$3:$AI$20,C56)&gt;0,$AI$2,
 IF(COUNTIF($AJ$3:$AJ$20,C56)&gt;0,$AJ$2,
 IF(COUNTIF($AK$3:$AK$20,C56)&gt;0,$AK$2,
 IF(COUNTIF($AL$3:$AL$20,C56)&gt;0,$AL$2,
 IF(COUNTIF($AM$3:$AM$20,C56)&gt;0,$AM$2,"Not Found")))))))</f>
        <v>Not Found</v>
      </c>
      <c r="E56" s="2" t="s">
        <v>10</v>
      </c>
      <c r="F56" s="2" t="s">
        <v>11</v>
      </c>
      <c r="G56" s="2">
        <v>123</v>
      </c>
      <c r="H56" s="2">
        <v>1282</v>
      </c>
      <c r="I56" s="2">
        <v>153</v>
      </c>
      <c r="J56" s="2">
        <v>-16</v>
      </c>
      <c r="K56" s="4">
        <v>0.77200000000000002</v>
      </c>
      <c r="L56" s="4">
        <v>0.48399999999999999</v>
      </c>
      <c r="M56" s="2">
        <v>111</v>
      </c>
      <c r="N56" s="2">
        <v>103.9</v>
      </c>
      <c r="O56" s="2">
        <v>95.9</v>
      </c>
      <c r="P56" s="2">
        <v>104.1</v>
      </c>
      <c r="Q56" s="4">
        <v>0.58499999999999996</v>
      </c>
      <c r="R56" s="4">
        <v>0.55500000000000005</v>
      </c>
      <c r="S56" s="4">
        <v>0.51800000000000002</v>
      </c>
      <c r="T56" s="4">
        <v>0.54200000000000004</v>
      </c>
      <c r="U56" s="19">
        <f>Table2[[#This Row],[NET PF]]/Table2[[#This Row],[HOME GAMES]]</f>
        <v>-0.72357723577235777</v>
      </c>
      <c r="V56" s="28">
        <f>393/Table2[[#This Row],[AWAY GAMES]]</f>
        <v>2.5686274509803924</v>
      </c>
      <c r="W56" s="4">
        <v>0.66200000000000003</v>
      </c>
      <c r="X56" s="4">
        <v>0.70799999999999996</v>
      </c>
      <c r="Y56" s="2">
        <v>-89</v>
      </c>
      <c r="Z56" s="2">
        <v>68</v>
      </c>
      <c r="AA56" s="8">
        <f>Table2[[#This Row],[HOME MARGIN]]/Table2[[#This Row],[HOME GAMES]]</f>
        <v>10.422764227642276</v>
      </c>
      <c r="AB56" s="8">
        <f>Table2[[#This Row],[AWAY MARGIN]]/Table2[[#This Row],[AWAY GAMES]]</f>
        <v>-0.10457516339869281</v>
      </c>
      <c r="AC56" s="8">
        <f>Table2[[#This Row],[HOME MARGIN/GAME]]-Table2[[#This Row],[AWAY MARGIN/GAME]]</f>
        <v>10.527339391040968</v>
      </c>
      <c r="AD56" s="23">
        <f>Table2[[#This Row],[HOME W/L%]]-Table2[[#This Row],[AWAY W/L%]]</f>
        <v>0.28800000000000003</v>
      </c>
      <c r="AE56" s="22"/>
      <c r="AF56"/>
    </row>
    <row r="57" spans="1:33" ht="16" hidden="1" customHeight="1" x14ac:dyDescent="0.2">
      <c r="A57" s="1">
        <v>133</v>
      </c>
      <c r="B57" s="1"/>
      <c r="C57" s="2" t="s">
        <v>28</v>
      </c>
      <c r="D57" s="2" t="str">
        <f>IF(COUNTIF($AG$3:$AG$20,C57)&gt;0,$AG$2,
 IF(COUNTIF($AH$3:$AH$20,C57)&gt;0,$AH$2,
 IF(COUNTIF($AI$3:$AI$20,C57)&gt;0,$AI$2,
 IF(COUNTIF($AJ$3:$AJ$20,C57)&gt;0,$AJ$2,
 IF(COUNTIF($AK$3:$AK$20,C57)&gt;0,$AK$2,
 IF(COUNTIF($AL$3:$AL$20,C57)&gt;0,$AL$2,
 IF(COUNTIF($AM$3:$AM$20,C57)&gt;0,$AM$2,"Not Found")))))))</f>
        <v>Not Found</v>
      </c>
      <c r="E57" s="2" t="s">
        <v>10</v>
      </c>
      <c r="F57" s="2" t="s">
        <v>11</v>
      </c>
      <c r="G57" s="2">
        <v>150</v>
      </c>
      <c r="H57" s="2">
        <v>1345</v>
      </c>
      <c r="I57" s="2">
        <v>122</v>
      </c>
      <c r="J57" s="2">
        <v>226</v>
      </c>
      <c r="K57" s="4">
        <v>0.79300000000000004</v>
      </c>
      <c r="L57" s="4">
        <v>0.59799999999999998</v>
      </c>
      <c r="M57" s="2">
        <v>108.9</v>
      </c>
      <c r="N57" s="2">
        <v>105.3</v>
      </c>
      <c r="O57" s="2">
        <v>96.2</v>
      </c>
      <c r="P57" s="2">
        <v>102.6</v>
      </c>
      <c r="Q57" s="4">
        <v>0.55700000000000005</v>
      </c>
      <c r="R57" s="4">
        <v>0.55000000000000004</v>
      </c>
      <c r="S57" s="4">
        <v>0.51600000000000001</v>
      </c>
      <c r="T57" s="4">
        <v>0.54600000000000004</v>
      </c>
      <c r="U57" s="19">
        <f>Table2[[#This Row],[NET PF]]/Table2[[#This Row],[HOME GAMES]]</f>
        <v>-1.8533333333333333</v>
      </c>
      <c r="V57" s="28">
        <f>393/Table2[[#This Row],[AWAY GAMES]]</f>
        <v>3.221311475409836</v>
      </c>
      <c r="W57" s="4">
        <v>0.69899999999999995</v>
      </c>
      <c r="X57" s="4">
        <v>0.71699999999999997</v>
      </c>
      <c r="Y57" s="2">
        <v>-278</v>
      </c>
      <c r="Z57" s="2">
        <v>153</v>
      </c>
      <c r="AA57" s="8">
        <f>Table2[[#This Row],[HOME MARGIN]]/Table2[[#This Row],[HOME GAMES]]</f>
        <v>8.9666666666666668</v>
      </c>
      <c r="AB57" s="8">
        <f>Table2[[#This Row],[AWAY MARGIN]]/Table2[[#This Row],[AWAY GAMES]]</f>
        <v>1.8524590163934427</v>
      </c>
      <c r="AC57" s="8">
        <f>Table2[[#This Row],[HOME MARGIN/GAME]]-Table2[[#This Row],[AWAY MARGIN/GAME]]</f>
        <v>7.1142076502732241</v>
      </c>
      <c r="AD57" s="23">
        <f>Table2[[#This Row],[HOME W/L%]]-Table2[[#This Row],[AWAY W/L%]]</f>
        <v>0.19500000000000006</v>
      </c>
      <c r="AE57" s="22"/>
      <c r="AF57"/>
    </row>
    <row r="58" spans="1:33" x14ac:dyDescent="0.2">
      <c r="A58" s="1">
        <v>71</v>
      </c>
      <c r="B58" s="1">
        <v>37</v>
      </c>
      <c r="C58" s="2" t="s">
        <v>150</v>
      </c>
      <c r="D58" s="2" t="str">
        <f>IF(COUNTIF($AG$3:$AG$20,C58)&gt;0,$AG$2,
 IF(COUNTIF($AH$3:$AH$20,C58)&gt;0,$AH$2,
 IF(COUNTIF($AI$3:$AI$20,C58)&gt;0,$AI$2,
 IF(COUNTIF($AJ$3:$AJ$20,C58)&gt;0,$AJ$2,
 IF(COUNTIF($AK$3:$AK$20,C58)&gt;0,$AK$2,
 IF(COUNTIF($AL$3:$AL$20,C58)&gt;0,$AL$2,
 IF(COUNTIF($AM$3:$AM$20,C58)&gt;0,$AM$2,"Not Found")))))))</f>
        <v>Big 12</v>
      </c>
      <c r="E58" s="2" t="s">
        <v>10</v>
      </c>
      <c r="F58" s="2" t="s">
        <v>11</v>
      </c>
      <c r="G58" s="2">
        <v>160</v>
      </c>
      <c r="H58" s="2">
        <v>1734</v>
      </c>
      <c r="I58" s="2">
        <v>112</v>
      </c>
      <c r="J58" s="2">
        <v>-437</v>
      </c>
      <c r="K58" s="4">
        <v>0.80600000000000005</v>
      </c>
      <c r="L58" s="4">
        <v>0.32100000000000001</v>
      </c>
      <c r="M58" s="2">
        <v>108.9</v>
      </c>
      <c r="N58" s="2">
        <v>97.4</v>
      </c>
      <c r="O58" s="2">
        <v>93.7</v>
      </c>
      <c r="P58" s="2">
        <v>103</v>
      </c>
      <c r="Q58" s="4">
        <v>0.57399999999999995</v>
      </c>
      <c r="R58" s="4">
        <v>0.51900000000000002</v>
      </c>
      <c r="S58" s="4">
        <v>0.498</v>
      </c>
      <c r="T58" s="4">
        <v>0.53900000000000003</v>
      </c>
      <c r="U58" s="19">
        <f>Table2[[#This Row],[NET PF]]/Table2[[#This Row],[HOME GAMES]]</f>
        <v>-4.0250000000000004</v>
      </c>
      <c r="V58" s="28">
        <f>393/Table2[[#This Row],[AWAY GAMES]]</f>
        <v>3.5089285714285716</v>
      </c>
      <c r="W58" s="4">
        <v>0.68700000000000006</v>
      </c>
      <c r="X58" s="4">
        <v>0.71099999999999997</v>
      </c>
      <c r="Y58" s="2">
        <v>-644</v>
      </c>
      <c r="Z58" s="2">
        <v>32</v>
      </c>
      <c r="AA58" s="8">
        <f>Table2[[#This Row],[HOME MARGIN]]/Table2[[#This Row],[HOME GAMES]]</f>
        <v>10.8375</v>
      </c>
      <c r="AB58" s="8">
        <f>Table2[[#This Row],[AWAY MARGIN]]/Table2[[#This Row],[AWAY GAMES]]</f>
        <v>-3.9017857142857144</v>
      </c>
      <c r="AC58" s="8">
        <f>Table2[[#This Row],[HOME MARGIN/GAME]]-Table2[[#This Row],[AWAY MARGIN/GAME]]</f>
        <v>14.739285714285714</v>
      </c>
      <c r="AD58" s="23">
        <f>Table2[[#This Row],[HOME W/L%]]-Table2[[#This Row],[AWAY W/L%]]</f>
        <v>0.48500000000000004</v>
      </c>
      <c r="AE58" s="22"/>
      <c r="AF58"/>
    </row>
    <row r="59" spans="1:33" ht="16" hidden="1" customHeight="1" x14ac:dyDescent="0.2">
      <c r="A59" s="1">
        <v>119</v>
      </c>
      <c r="B59" s="1"/>
      <c r="C59" s="2" t="s">
        <v>103</v>
      </c>
      <c r="D59" s="2" t="str">
        <f>IF(COUNTIF($AG$3:$AG$20,C59)&gt;0,$AG$2,
 IF(COUNTIF($AH$3:$AH$20,C59)&gt;0,$AH$2,
 IF(COUNTIF($AI$3:$AI$20,C59)&gt;0,$AI$2,
 IF(COUNTIF($AJ$3:$AJ$20,C59)&gt;0,$AJ$2,
 IF(COUNTIF($AK$3:$AK$20,C59)&gt;0,$AK$2,
 IF(COUNTIF($AL$3:$AL$20,C59)&gt;0,$AL$2,
 IF(COUNTIF($AM$3:$AM$20,C59)&gt;0,$AM$2,"Not Found")))))))</f>
        <v>Not Found</v>
      </c>
      <c r="E59" s="2" t="s">
        <v>10</v>
      </c>
      <c r="F59" s="2" t="s">
        <v>11</v>
      </c>
      <c r="G59" s="2">
        <v>159</v>
      </c>
      <c r="H59" s="2">
        <v>1398</v>
      </c>
      <c r="I59" s="2">
        <v>111</v>
      </c>
      <c r="J59" s="2">
        <v>-274</v>
      </c>
      <c r="K59" s="4">
        <v>0.73</v>
      </c>
      <c r="L59" s="4">
        <v>0.432</v>
      </c>
      <c r="M59" s="2">
        <v>113.7</v>
      </c>
      <c r="N59" s="2">
        <v>100.7</v>
      </c>
      <c r="O59" s="2">
        <v>101.1</v>
      </c>
      <c r="P59" s="2">
        <v>104.3</v>
      </c>
      <c r="Q59" s="4">
        <v>0.58899999999999997</v>
      </c>
      <c r="R59" s="4">
        <v>0.54100000000000004</v>
      </c>
      <c r="S59" s="4">
        <v>0.53500000000000003</v>
      </c>
      <c r="T59" s="4">
        <v>0.54100000000000004</v>
      </c>
      <c r="U59" s="19">
        <f>Table2[[#This Row],[NET PF]]/Table2[[#This Row],[HOME GAMES]]</f>
        <v>-3.2704402515723272</v>
      </c>
      <c r="V59" s="28">
        <f>393/Table2[[#This Row],[AWAY GAMES]]</f>
        <v>3.5405405405405403</v>
      </c>
      <c r="W59" s="4">
        <v>0.72</v>
      </c>
      <c r="X59" s="4">
        <v>0.69299999999999995</v>
      </c>
      <c r="Y59" s="2">
        <v>-520</v>
      </c>
      <c r="Z59" s="2">
        <v>39</v>
      </c>
      <c r="AA59" s="8">
        <f>Table2[[#This Row],[HOME MARGIN]]/Table2[[#This Row],[HOME GAMES]]</f>
        <v>8.7924528301886795</v>
      </c>
      <c r="AB59" s="8">
        <f>Table2[[#This Row],[AWAY MARGIN]]/Table2[[#This Row],[AWAY GAMES]]</f>
        <v>-2.4684684684684686</v>
      </c>
      <c r="AC59" s="8">
        <f>Table2[[#This Row],[HOME MARGIN/GAME]]-Table2[[#This Row],[AWAY MARGIN/GAME]]</f>
        <v>11.260921298657149</v>
      </c>
      <c r="AD59" s="23">
        <f>Table2[[#This Row],[HOME W/L%]]-Table2[[#This Row],[AWAY W/L%]]</f>
        <v>0.29799999999999999</v>
      </c>
      <c r="AE59" s="22"/>
      <c r="AF59"/>
    </row>
    <row r="60" spans="1:33" ht="16" hidden="1" customHeight="1" x14ac:dyDescent="0.2">
      <c r="A60" s="1">
        <v>275</v>
      </c>
      <c r="B60" s="1"/>
      <c r="C60" s="2" t="s">
        <v>313</v>
      </c>
      <c r="D60" s="2" t="str">
        <f>IF(COUNTIF($AG$3:$AG$20,C60)&gt;0,$AG$2,
 IF(COUNTIF($AH$3:$AH$20,C60)&gt;0,$AH$2,
 IF(COUNTIF($AI$3:$AI$20,C60)&gt;0,$AI$2,
 IF(COUNTIF($AJ$3:$AJ$20,C60)&gt;0,$AJ$2,
 IF(COUNTIF($AK$3:$AK$20,C60)&gt;0,$AK$2,
 IF(COUNTIF($AL$3:$AL$20,C60)&gt;0,$AL$2,
 IF(COUNTIF($AM$3:$AM$20,C60)&gt;0,$AM$2,"Not Found")))))))</f>
        <v>Not Found</v>
      </c>
      <c r="E60" s="2" t="s">
        <v>10</v>
      </c>
      <c r="F60" s="2" t="s">
        <v>11</v>
      </c>
      <c r="G60" s="2">
        <v>125</v>
      </c>
      <c r="H60" s="2">
        <v>592</v>
      </c>
      <c r="I60" s="2">
        <v>122</v>
      </c>
      <c r="J60" s="2">
        <v>-994</v>
      </c>
      <c r="K60" s="4">
        <v>0.52</v>
      </c>
      <c r="L60" s="4">
        <v>0.20499999999999999</v>
      </c>
      <c r="M60" s="2">
        <v>105.8</v>
      </c>
      <c r="N60" s="2">
        <v>97.3</v>
      </c>
      <c r="O60" s="2">
        <v>99.1</v>
      </c>
      <c r="P60" s="2">
        <v>108.6</v>
      </c>
      <c r="Q60" s="4">
        <v>0.55400000000000005</v>
      </c>
      <c r="R60" s="4">
        <v>0.51900000000000002</v>
      </c>
      <c r="S60" s="4">
        <v>0.53300000000000003</v>
      </c>
      <c r="T60" s="4">
        <v>0.56699999999999995</v>
      </c>
      <c r="U60" s="19">
        <f>Table2[[#This Row],[NET PF]]/Table2[[#This Row],[HOME GAMES]]</f>
        <v>0.65600000000000003</v>
      </c>
      <c r="V60" s="28">
        <f>393/Table2[[#This Row],[AWAY GAMES]]</f>
        <v>3.221311475409836</v>
      </c>
      <c r="W60" s="4">
        <v>0.72099999999999997</v>
      </c>
      <c r="X60" s="4">
        <v>0.69699999999999995</v>
      </c>
      <c r="Y60" s="2">
        <v>82</v>
      </c>
      <c r="Z60" s="2">
        <v>223</v>
      </c>
      <c r="AA60" s="8">
        <f>Table2[[#This Row],[HOME MARGIN]]/Table2[[#This Row],[HOME GAMES]]</f>
        <v>4.7359999999999998</v>
      </c>
      <c r="AB60" s="8">
        <f>Table2[[#This Row],[AWAY MARGIN]]/Table2[[#This Row],[AWAY GAMES]]</f>
        <v>-8.1475409836065573</v>
      </c>
      <c r="AC60" s="8">
        <f>Table2[[#This Row],[HOME MARGIN/GAME]]-Table2[[#This Row],[AWAY MARGIN/GAME]]</f>
        <v>12.883540983606558</v>
      </c>
      <c r="AD60" s="23">
        <f>Table2[[#This Row],[HOME W/L%]]-Table2[[#This Row],[AWAY W/L%]]</f>
        <v>0.31500000000000006</v>
      </c>
      <c r="AE60" s="22"/>
      <c r="AF60"/>
    </row>
    <row r="61" spans="1:33" x14ac:dyDescent="0.2">
      <c r="A61" s="1">
        <v>27</v>
      </c>
      <c r="B61" s="1">
        <v>15</v>
      </c>
      <c r="C61" s="2" t="s">
        <v>50</v>
      </c>
      <c r="D61" s="2" t="str">
        <f>IF(COUNTIF($AG$3:$AG$20,C61)&gt;0,$AG$2,
 IF(COUNTIF($AH$3:$AH$20,C61)&gt;0,$AH$2,
 IF(COUNTIF($AI$3:$AI$20,C61)&gt;0,$AI$2,
 IF(COUNTIF($AJ$3:$AJ$20,C61)&gt;0,$AJ$2,
 IF(COUNTIF($AK$3:$AK$20,C61)&gt;0,$AK$2,
 IF(COUNTIF($AL$3:$AL$20,C61)&gt;0,$AL$2,
 IF(COUNTIF($AM$3:$AM$20,C61)&gt;0,$AM$2,"Not Found")))))))</f>
        <v>Big East</v>
      </c>
      <c r="E61" s="2" t="s">
        <v>10</v>
      </c>
      <c r="F61" s="2" t="s">
        <v>11</v>
      </c>
      <c r="G61" s="2">
        <v>157</v>
      </c>
      <c r="H61" s="2">
        <v>2140</v>
      </c>
      <c r="I61" s="2">
        <v>104</v>
      </c>
      <c r="J61" s="2">
        <v>22</v>
      </c>
      <c r="K61" s="4">
        <v>0.80300000000000005</v>
      </c>
      <c r="L61" s="4">
        <v>0.46200000000000002</v>
      </c>
      <c r="M61" s="2">
        <v>111</v>
      </c>
      <c r="N61" s="2">
        <v>102.7</v>
      </c>
      <c r="O61" s="2">
        <v>91.5</v>
      </c>
      <c r="P61" s="2">
        <v>102.3</v>
      </c>
      <c r="Q61" s="4">
        <v>0.56200000000000006</v>
      </c>
      <c r="R61" s="4">
        <v>0.53100000000000003</v>
      </c>
      <c r="S61" s="4">
        <v>0.48799999999999999</v>
      </c>
      <c r="T61" s="4">
        <v>0.53100000000000003</v>
      </c>
      <c r="U61" s="19">
        <f>Table2[[#This Row],[NET PF]]/Table2[[#This Row],[HOME GAMES]]</f>
        <v>-0.9426751592356688</v>
      </c>
      <c r="V61" s="28">
        <f>393/Table2[[#This Row],[AWAY GAMES]]</f>
        <v>3.7788461538461537</v>
      </c>
      <c r="W61" s="4">
        <v>0.70499999999999996</v>
      </c>
      <c r="X61" s="4">
        <v>0.71299999999999997</v>
      </c>
      <c r="Y61" s="2">
        <v>-148</v>
      </c>
      <c r="Z61" s="2">
        <v>351</v>
      </c>
      <c r="AA61" s="8">
        <f>Table2[[#This Row],[HOME MARGIN]]/Table2[[#This Row],[HOME GAMES]]</f>
        <v>13.630573248407643</v>
      </c>
      <c r="AB61" s="8">
        <f>Table2[[#This Row],[AWAY MARGIN]]/Table2[[#This Row],[AWAY GAMES]]</f>
        <v>0.21153846153846154</v>
      </c>
      <c r="AC61" s="8">
        <f>Table2[[#This Row],[HOME MARGIN/GAME]]-Table2[[#This Row],[AWAY MARGIN/GAME]]</f>
        <v>13.419034786869181</v>
      </c>
      <c r="AD61" s="23">
        <f>Table2[[#This Row],[HOME W/L%]]-Table2[[#This Row],[AWAY W/L%]]</f>
        <v>0.34100000000000003</v>
      </c>
      <c r="AE61" s="22"/>
      <c r="AF61"/>
    </row>
    <row r="62" spans="1:33" ht="16" hidden="1" customHeight="1" x14ac:dyDescent="0.2">
      <c r="A62" s="1">
        <v>364</v>
      </c>
      <c r="B62" s="1"/>
      <c r="C62" s="2" t="s">
        <v>220</v>
      </c>
      <c r="D62" s="2" t="str">
        <f>IF(COUNTIF($AG$3:$AG$20,C62)&gt;0,$AG$2,
 IF(COUNTIF($AH$3:$AH$20,C62)&gt;0,$AH$2,
 IF(COUNTIF($AI$3:$AI$20,C62)&gt;0,$AI$2,
 IF(COUNTIF($AJ$3:$AJ$20,C62)&gt;0,$AJ$2,
 IF(COUNTIF($AK$3:$AK$20,C62)&gt;0,$AK$2,
 IF(COUNTIF($AL$3:$AL$20,C62)&gt;0,$AL$2,
 IF(COUNTIF($AM$3:$AM$20,C62)&gt;0,$AM$2,"Not Found")))))))</f>
        <v>Not Found</v>
      </c>
      <c r="E62" s="2" t="s">
        <v>10</v>
      </c>
      <c r="F62" s="2" t="s">
        <v>11</v>
      </c>
      <c r="G62" s="2">
        <v>101</v>
      </c>
      <c r="H62" s="2">
        <v>-259</v>
      </c>
      <c r="I62" s="2">
        <v>187</v>
      </c>
      <c r="J62" s="2">
        <v>-2902</v>
      </c>
      <c r="K62" s="4">
        <v>0.40600000000000003</v>
      </c>
      <c r="L62" s="4">
        <v>0.16600000000000001</v>
      </c>
      <c r="M62" s="2">
        <v>95.4</v>
      </c>
      <c r="N62" s="2">
        <v>86.6</v>
      </c>
      <c r="O62" s="2">
        <v>98.8</v>
      </c>
      <c r="P62" s="2">
        <v>107.8</v>
      </c>
      <c r="Q62" s="4">
        <v>0.52500000000000002</v>
      </c>
      <c r="R62" s="4">
        <v>0.47499999999999998</v>
      </c>
      <c r="S62" s="4">
        <v>0.52200000000000002</v>
      </c>
      <c r="T62" s="4">
        <v>0.55900000000000005</v>
      </c>
      <c r="U62" s="19">
        <f>Table2[[#This Row],[NET PF]]/Table2[[#This Row],[HOME GAMES]]</f>
        <v>-1.0099009900990099</v>
      </c>
      <c r="V62" s="28">
        <f>393/Table2[[#This Row],[AWAY GAMES]]</f>
        <v>2.1016042780748663</v>
      </c>
      <c r="W62" s="4">
        <v>0.69599999999999995</v>
      </c>
      <c r="X62" s="4">
        <v>0.70699999999999996</v>
      </c>
      <c r="Y62" s="2">
        <v>-102</v>
      </c>
      <c r="Z62" s="2">
        <v>390</v>
      </c>
      <c r="AA62" s="8">
        <f>Table2[[#This Row],[HOME MARGIN]]/Table2[[#This Row],[HOME GAMES]]</f>
        <v>-2.5643564356435644</v>
      </c>
      <c r="AB62" s="8">
        <f>Table2[[#This Row],[AWAY MARGIN]]/Table2[[#This Row],[AWAY GAMES]]</f>
        <v>-15.518716577540108</v>
      </c>
      <c r="AC62" s="8">
        <f>Table2[[#This Row],[HOME MARGIN/GAME]]-Table2[[#This Row],[AWAY MARGIN/GAME]]</f>
        <v>12.954360141896544</v>
      </c>
      <c r="AD62" s="23">
        <f>Table2[[#This Row],[HOME W/L%]]-Table2[[#This Row],[AWAY W/L%]]</f>
        <v>0.24000000000000002</v>
      </c>
      <c r="AE62" s="22"/>
      <c r="AF62"/>
    </row>
    <row r="63" spans="1:33" ht="16" hidden="1" customHeight="1" x14ac:dyDescent="0.2">
      <c r="A63" s="1">
        <v>222</v>
      </c>
      <c r="B63" s="1"/>
      <c r="C63" s="2" t="s">
        <v>353</v>
      </c>
      <c r="D63" s="2" t="str">
        <f>IF(COUNTIF($AG$3:$AG$20,C63)&gt;0,$AG$2,
 IF(COUNTIF($AH$3:$AH$20,C63)&gt;0,$AH$2,
 IF(COUNTIF($AI$3:$AI$20,C63)&gt;0,$AI$2,
 IF(COUNTIF($AJ$3:$AJ$20,C63)&gt;0,$AJ$2,
 IF(COUNTIF($AK$3:$AK$20,C63)&gt;0,$AK$2,
 IF(COUNTIF($AL$3:$AL$20,C63)&gt;0,$AL$2,
 IF(COUNTIF($AM$3:$AM$20,C63)&gt;0,$AM$2,"Not Found")))))))</f>
        <v>Not Found</v>
      </c>
      <c r="E63" s="2" t="s">
        <v>10</v>
      </c>
      <c r="F63" s="2" t="s">
        <v>11</v>
      </c>
      <c r="G63" s="2">
        <v>111</v>
      </c>
      <c r="H63" s="2">
        <v>882</v>
      </c>
      <c r="I63" s="2">
        <v>133</v>
      </c>
      <c r="J63" s="2">
        <v>-792</v>
      </c>
      <c r="K63" s="4">
        <v>0.64</v>
      </c>
      <c r="L63" s="4">
        <v>0.36799999999999999</v>
      </c>
      <c r="M63" s="2">
        <v>109</v>
      </c>
      <c r="N63" s="2">
        <v>100.4</v>
      </c>
      <c r="O63" s="2">
        <v>98.1</v>
      </c>
      <c r="P63" s="2">
        <v>108.6</v>
      </c>
      <c r="Q63" s="4">
        <v>0.58399999999999996</v>
      </c>
      <c r="R63" s="4">
        <v>0.54600000000000004</v>
      </c>
      <c r="S63" s="4">
        <v>0.52</v>
      </c>
      <c r="T63" s="4">
        <v>0.56100000000000005</v>
      </c>
      <c r="U63" s="19">
        <f>Table2[[#This Row],[NET PF]]/Table2[[#This Row],[HOME GAMES]]</f>
        <v>0.30630630630630629</v>
      </c>
      <c r="V63" s="28">
        <f>393/Table2[[#This Row],[AWAY GAMES]]</f>
        <v>2.9548872180451129</v>
      </c>
      <c r="W63" s="4">
        <v>0.69399999999999995</v>
      </c>
      <c r="X63" s="4">
        <v>0.71399999999999997</v>
      </c>
      <c r="Y63" s="2">
        <v>34</v>
      </c>
      <c r="Z63" s="2">
        <v>72</v>
      </c>
      <c r="AA63" s="8">
        <f>Table2[[#This Row],[HOME MARGIN]]/Table2[[#This Row],[HOME GAMES]]</f>
        <v>7.9459459459459456</v>
      </c>
      <c r="AB63" s="8">
        <f>Table2[[#This Row],[AWAY MARGIN]]/Table2[[#This Row],[AWAY GAMES]]</f>
        <v>-5.9548872180451129</v>
      </c>
      <c r="AC63" s="8">
        <f>Table2[[#This Row],[HOME MARGIN/GAME]]-Table2[[#This Row],[AWAY MARGIN/GAME]]</f>
        <v>13.900833163991059</v>
      </c>
      <c r="AD63" s="23">
        <f>Table2[[#This Row],[HOME W/L%]]-Table2[[#This Row],[AWAY W/L%]]</f>
        <v>0.27200000000000002</v>
      </c>
      <c r="AE63" s="22"/>
      <c r="AF63"/>
    </row>
    <row r="64" spans="1:33" x14ac:dyDescent="0.2">
      <c r="A64" s="1">
        <v>16</v>
      </c>
      <c r="B64" s="1">
        <v>14</v>
      </c>
      <c r="C64" s="2" t="s">
        <v>64</v>
      </c>
      <c r="D64" s="2" t="str">
        <f>IF(COUNTIF($AG$3:$AG$20,C64)&gt;0,$AG$2,
 IF(COUNTIF($AH$3:$AH$20,C64)&gt;0,$AH$2,
 IF(COUNTIF($AI$3:$AI$20,C64)&gt;0,$AI$2,
 IF(COUNTIF($AJ$3:$AJ$20,C64)&gt;0,$AJ$2,
 IF(COUNTIF($AK$3:$AK$20,C64)&gt;0,$AK$2,
 IF(COUNTIF($AL$3:$AL$20,C64)&gt;0,$AL$2,
 IF(COUNTIF($AM$3:$AM$20,C64)&gt;0,$AM$2,"Not Found")))))))</f>
        <v>Big East</v>
      </c>
      <c r="E64" s="2" t="s">
        <v>10</v>
      </c>
      <c r="F64" s="2" t="s">
        <v>11</v>
      </c>
      <c r="G64" s="2">
        <v>164</v>
      </c>
      <c r="H64" s="2">
        <v>2359</v>
      </c>
      <c r="I64" s="2">
        <v>113</v>
      </c>
      <c r="J64" s="2">
        <v>-53</v>
      </c>
      <c r="K64" s="4">
        <v>0.81100000000000005</v>
      </c>
      <c r="L64" s="4">
        <v>0.504</v>
      </c>
      <c r="M64" s="2">
        <v>115.2</v>
      </c>
      <c r="N64" s="2">
        <v>102.1</v>
      </c>
      <c r="O64" s="2">
        <v>95</v>
      </c>
      <c r="P64" s="2">
        <v>102.8</v>
      </c>
      <c r="Q64" s="4">
        <v>0.61</v>
      </c>
      <c r="R64" s="4">
        <v>0.54500000000000004</v>
      </c>
      <c r="S64" s="4">
        <v>0.49299999999999999</v>
      </c>
      <c r="T64" s="4">
        <v>0.52300000000000002</v>
      </c>
      <c r="U64" s="19">
        <f>Table2[[#This Row],[NET PF]]/Table2[[#This Row],[HOME GAMES]]</f>
        <v>-3.2865853658536586</v>
      </c>
      <c r="V64" s="28">
        <f>393/Table2[[#This Row],[AWAY GAMES]]</f>
        <v>3.4778761061946901</v>
      </c>
      <c r="W64" s="4">
        <v>0.7</v>
      </c>
      <c r="X64" s="4">
        <v>0.72799999999999998</v>
      </c>
      <c r="Y64" s="2">
        <v>-539</v>
      </c>
      <c r="Z64" s="2">
        <v>2</v>
      </c>
      <c r="AA64" s="8">
        <f>Table2[[#This Row],[HOME MARGIN]]/Table2[[#This Row],[HOME GAMES]]</f>
        <v>14.384146341463415</v>
      </c>
      <c r="AB64" s="8">
        <f>Table2[[#This Row],[AWAY MARGIN]]/Table2[[#This Row],[AWAY GAMES]]</f>
        <v>-0.46902654867256638</v>
      </c>
      <c r="AC64" s="8">
        <f>Table2[[#This Row],[HOME MARGIN/GAME]]-Table2[[#This Row],[AWAY MARGIN/GAME]]</f>
        <v>14.853172890135982</v>
      </c>
      <c r="AD64" s="23">
        <f>Table2[[#This Row],[HOME W/L%]]-Table2[[#This Row],[AWAY W/L%]]</f>
        <v>0.30700000000000005</v>
      </c>
      <c r="AE64" s="22"/>
      <c r="AF64"/>
    </row>
    <row r="65" spans="1:32" ht="16" hidden="1" customHeight="1" x14ac:dyDescent="0.2">
      <c r="A65" s="1">
        <v>263</v>
      </c>
      <c r="B65" s="1"/>
      <c r="C65" s="2" t="s">
        <v>306</v>
      </c>
      <c r="D65" s="2" t="str">
        <f>IF(COUNTIF($AG$3:$AG$20,C65)&gt;0,$AG$2,
 IF(COUNTIF($AH$3:$AH$20,C65)&gt;0,$AH$2,
 IF(COUNTIF($AI$3:$AI$20,C65)&gt;0,$AI$2,
 IF(COUNTIF($AJ$3:$AJ$20,C65)&gt;0,$AJ$2,
 IF(COUNTIF($AK$3:$AK$20,C65)&gt;0,$AK$2,
 IF(COUNTIF($AL$3:$AL$20,C65)&gt;0,$AL$2,
 IF(COUNTIF($AM$3:$AM$20,C65)&gt;0,$AM$2,"Not Found")))))))</f>
        <v>Not Found</v>
      </c>
      <c r="E65" s="2" t="s">
        <v>10</v>
      </c>
      <c r="F65" s="2" t="s">
        <v>11</v>
      </c>
      <c r="G65" s="2">
        <v>112</v>
      </c>
      <c r="H65" s="2">
        <v>671</v>
      </c>
      <c r="I65" s="2">
        <v>130</v>
      </c>
      <c r="J65" s="2">
        <v>-1021</v>
      </c>
      <c r="K65" s="4">
        <v>0.51800000000000002</v>
      </c>
      <c r="L65" s="4">
        <v>0.2</v>
      </c>
      <c r="M65" s="2">
        <v>104.8</v>
      </c>
      <c r="N65" s="2">
        <v>94.8</v>
      </c>
      <c r="O65" s="2">
        <v>96.2</v>
      </c>
      <c r="P65" s="2">
        <v>106</v>
      </c>
      <c r="Q65" s="4">
        <v>0.56000000000000005</v>
      </c>
      <c r="R65" s="4">
        <v>0.51700000000000002</v>
      </c>
      <c r="S65" s="4">
        <v>0.51600000000000001</v>
      </c>
      <c r="T65" s="4">
        <v>0.55800000000000005</v>
      </c>
      <c r="U65" s="19">
        <f>Table2[[#This Row],[NET PF]]/Table2[[#This Row],[HOME GAMES]]</f>
        <v>-1.4553571428571428</v>
      </c>
      <c r="V65" s="28">
        <f>393/Table2[[#This Row],[AWAY GAMES]]</f>
        <v>3.023076923076923</v>
      </c>
      <c r="W65" s="4">
        <v>0.68</v>
      </c>
      <c r="X65" s="4">
        <v>0.71099999999999997</v>
      </c>
      <c r="Y65" s="2">
        <v>-163</v>
      </c>
      <c r="Z65" s="2">
        <v>25</v>
      </c>
      <c r="AA65" s="8">
        <f>Table2[[#This Row],[HOME MARGIN]]/Table2[[#This Row],[HOME GAMES]]</f>
        <v>5.9910714285714288</v>
      </c>
      <c r="AB65" s="8">
        <f>Table2[[#This Row],[AWAY MARGIN]]/Table2[[#This Row],[AWAY GAMES]]</f>
        <v>-7.8538461538461535</v>
      </c>
      <c r="AC65" s="8">
        <f>Table2[[#This Row],[HOME MARGIN/GAME]]-Table2[[#This Row],[AWAY MARGIN/GAME]]</f>
        <v>13.844917582417583</v>
      </c>
      <c r="AD65" s="23">
        <f>Table2[[#This Row],[HOME W/L%]]-Table2[[#This Row],[AWAY W/L%]]</f>
        <v>0.318</v>
      </c>
      <c r="AE65" s="22"/>
      <c r="AF65"/>
    </row>
    <row r="66" spans="1:32" ht="16" hidden="1" customHeight="1" x14ac:dyDescent="0.2">
      <c r="A66" s="1">
        <v>106</v>
      </c>
      <c r="B66" s="1"/>
      <c r="C66" s="2" t="s">
        <v>56</v>
      </c>
      <c r="D66" s="2" t="str">
        <f>IF(COUNTIF($AG$3:$AG$20,C66)&gt;0,$AG$2,
 IF(COUNTIF($AH$3:$AH$20,C66)&gt;0,$AH$2,
 IF(COUNTIF($AI$3:$AI$20,C66)&gt;0,$AI$2,
 IF(COUNTIF($AJ$3:$AJ$20,C66)&gt;0,$AJ$2,
 IF(COUNTIF($AK$3:$AK$20,C66)&gt;0,$AK$2,
 IF(COUNTIF($AL$3:$AL$20,C66)&gt;0,$AL$2,
 IF(COUNTIF($AM$3:$AM$20,C66)&gt;0,$AM$2,"Not Found")))))))</f>
        <v>Not Found</v>
      </c>
      <c r="E66" s="2" t="s">
        <v>10</v>
      </c>
      <c r="F66" s="2" t="s">
        <v>11</v>
      </c>
      <c r="G66" s="2">
        <v>141</v>
      </c>
      <c r="H66" s="2">
        <v>1481</v>
      </c>
      <c r="I66" s="2">
        <v>115</v>
      </c>
      <c r="J66" s="2">
        <v>-4</v>
      </c>
      <c r="K66" s="4">
        <v>0.752</v>
      </c>
      <c r="L66" s="4">
        <v>0.45200000000000001</v>
      </c>
      <c r="M66" s="2">
        <v>111.6</v>
      </c>
      <c r="N66" s="2">
        <v>106.3</v>
      </c>
      <c r="O66" s="2">
        <v>96.1</v>
      </c>
      <c r="P66" s="2">
        <v>106.4</v>
      </c>
      <c r="Q66" s="4">
        <v>0.57799999999999996</v>
      </c>
      <c r="R66" s="4">
        <v>0.55500000000000005</v>
      </c>
      <c r="S66" s="4">
        <v>0.51</v>
      </c>
      <c r="T66" s="4">
        <v>0.55400000000000005</v>
      </c>
      <c r="U66" s="19">
        <f>Table2[[#This Row],[NET PF]]/Table2[[#This Row],[HOME GAMES]]</f>
        <v>-2.5886524822695036</v>
      </c>
      <c r="V66" s="28">
        <f>393/Table2[[#This Row],[AWAY GAMES]]</f>
        <v>3.4173913043478259</v>
      </c>
      <c r="W66" s="4">
        <v>0.68300000000000005</v>
      </c>
      <c r="X66" s="4">
        <v>0.72299999999999998</v>
      </c>
      <c r="Y66" s="2">
        <v>-365</v>
      </c>
      <c r="Z66" s="2">
        <v>-27</v>
      </c>
      <c r="AA66" s="8">
        <f>Table2[[#This Row],[HOME MARGIN]]/Table2[[#This Row],[HOME GAMES]]</f>
        <v>10.50354609929078</v>
      </c>
      <c r="AB66" s="8">
        <f>Table2[[#This Row],[AWAY MARGIN]]/Table2[[#This Row],[AWAY GAMES]]</f>
        <v>-3.4782608695652174E-2</v>
      </c>
      <c r="AC66" s="8">
        <f>Table2[[#This Row],[HOME MARGIN/GAME]]-Table2[[#This Row],[AWAY MARGIN/GAME]]</f>
        <v>10.538328707986432</v>
      </c>
      <c r="AD66" s="23">
        <f>Table2[[#This Row],[HOME W/L%]]-Table2[[#This Row],[AWAY W/L%]]</f>
        <v>0.3</v>
      </c>
      <c r="AE66" s="22"/>
      <c r="AF66"/>
    </row>
    <row r="67" spans="1:32" ht="17" hidden="1" customHeight="1" thickBot="1" x14ac:dyDescent="0.25">
      <c r="A67" s="1">
        <v>57</v>
      </c>
      <c r="B67" s="1"/>
      <c r="C67" s="2" t="s">
        <v>20</v>
      </c>
      <c r="D67" s="2" t="str">
        <f>IF(COUNTIF($AG$3:$AG$20,C67)&gt;0,$AG$2,
 IF(COUNTIF($AH$3:$AH$20,C67)&gt;0,$AH$2,
 IF(COUNTIF($AI$3:$AI$20,C67)&gt;0,$AI$2,
 IF(COUNTIF($AJ$3:$AJ$20,C67)&gt;0,$AJ$2,
 IF(COUNTIF($AK$3:$AK$20,C67)&gt;0,$AK$2,
 IF(COUNTIF($AL$3:$AL$20,C67)&gt;0,$AL$2,
 IF(COUNTIF($AM$3:$AM$20,C67)&gt;0,$AM$2,"Not Found")))))))</f>
        <v>Not Found</v>
      </c>
      <c r="E67" s="2" t="s">
        <v>10</v>
      </c>
      <c r="F67" s="2" t="s">
        <v>11</v>
      </c>
      <c r="G67" s="2">
        <v>160</v>
      </c>
      <c r="H67" s="2">
        <v>1883</v>
      </c>
      <c r="I67" s="2">
        <v>101</v>
      </c>
      <c r="J67" s="2">
        <v>293</v>
      </c>
      <c r="K67" s="4">
        <v>0.85599999999999998</v>
      </c>
      <c r="L67" s="4">
        <v>0.57399999999999995</v>
      </c>
      <c r="M67" s="2">
        <v>111.7</v>
      </c>
      <c r="N67" s="2">
        <v>104</v>
      </c>
      <c r="O67" s="2">
        <v>94.3</v>
      </c>
      <c r="P67" s="2">
        <v>99.7</v>
      </c>
      <c r="Q67" s="4">
        <v>0.59599999999999997</v>
      </c>
      <c r="R67" s="4">
        <v>0.55900000000000005</v>
      </c>
      <c r="S67" s="4">
        <v>0.498</v>
      </c>
      <c r="T67" s="4">
        <v>0.52</v>
      </c>
      <c r="U67" s="19">
        <f>Table2[[#This Row],[NET PF]]/Table2[[#This Row],[HOME GAMES]]</f>
        <v>-3.625</v>
      </c>
      <c r="V67" s="28">
        <f>393/Table2[[#This Row],[AWAY GAMES]]</f>
        <v>3.891089108910891</v>
      </c>
      <c r="W67" s="4">
        <v>0.68700000000000006</v>
      </c>
      <c r="X67" s="4">
        <v>0.70299999999999996</v>
      </c>
      <c r="Y67" s="2">
        <v>-580</v>
      </c>
      <c r="Z67" s="2">
        <v>-1</v>
      </c>
      <c r="AA67" s="8">
        <f>Table2[[#This Row],[HOME MARGIN]]/Table2[[#This Row],[HOME GAMES]]</f>
        <v>11.768750000000001</v>
      </c>
      <c r="AB67" s="8">
        <f>Table2[[#This Row],[AWAY MARGIN]]/Table2[[#This Row],[AWAY GAMES]]</f>
        <v>2.9009900990099009</v>
      </c>
      <c r="AC67" s="8">
        <f>Table2[[#This Row],[HOME MARGIN/GAME]]-Table2[[#This Row],[AWAY MARGIN/GAME]]</f>
        <v>8.8677599009900998</v>
      </c>
      <c r="AD67" s="23">
        <f>Table2[[#This Row],[HOME W/L%]]-Table2[[#This Row],[AWAY W/L%]]</f>
        <v>0.28200000000000003</v>
      </c>
      <c r="AE67" s="22"/>
      <c r="AF67" s="14"/>
    </row>
    <row r="68" spans="1:32" ht="16" hidden="1" customHeight="1" x14ac:dyDescent="0.2">
      <c r="A68" s="1">
        <v>311</v>
      </c>
      <c r="B68" s="1"/>
      <c r="C68" s="2" t="s">
        <v>356</v>
      </c>
      <c r="D68" s="2" t="str">
        <f>IF(COUNTIF($AG$3:$AG$20,C68)&gt;0,$AG$2,
 IF(COUNTIF($AH$3:$AH$20,C68)&gt;0,$AH$2,
 IF(COUNTIF($AI$3:$AI$20,C68)&gt;0,$AI$2,
 IF(COUNTIF($AJ$3:$AJ$20,C68)&gt;0,$AJ$2,
 IF(COUNTIF($AK$3:$AK$20,C68)&gt;0,$AK$2,
 IF(COUNTIF($AL$3:$AL$20,C68)&gt;0,$AL$2,
 IF(COUNTIF($AM$3:$AM$20,C68)&gt;0,$AM$2,"Not Found")))))))</f>
        <v>Not Found</v>
      </c>
      <c r="E68" s="2" t="s">
        <v>10</v>
      </c>
      <c r="F68" s="2" t="s">
        <v>11</v>
      </c>
      <c r="G68" s="2">
        <v>136</v>
      </c>
      <c r="H68" s="2">
        <v>390</v>
      </c>
      <c r="I68" s="2">
        <v>134</v>
      </c>
      <c r="J68" s="2">
        <v>-790</v>
      </c>
      <c r="K68" s="4">
        <v>0.59599999999999997</v>
      </c>
      <c r="L68" s="4">
        <v>0.35099999999999998</v>
      </c>
      <c r="M68" s="2">
        <v>106.1</v>
      </c>
      <c r="N68" s="2">
        <v>99.6</v>
      </c>
      <c r="O68" s="2">
        <v>101.9</v>
      </c>
      <c r="P68" s="2">
        <v>108.1</v>
      </c>
      <c r="Q68" s="4">
        <v>0.56000000000000005</v>
      </c>
      <c r="R68" s="4">
        <v>0.53100000000000003</v>
      </c>
      <c r="S68" s="4">
        <v>0.52600000000000002</v>
      </c>
      <c r="T68" s="4">
        <v>0.55400000000000005</v>
      </c>
      <c r="U68" s="19">
        <f>Table2[[#This Row],[NET PF]]/Table2[[#This Row],[HOME GAMES]]</f>
        <v>-1.6764705882352942</v>
      </c>
      <c r="V68" s="28">
        <f>393/Table2[[#This Row],[AWAY GAMES]]</f>
        <v>2.9328358208955225</v>
      </c>
      <c r="W68" s="4">
        <v>0.72199999999999998</v>
      </c>
      <c r="X68" s="4">
        <v>0.72</v>
      </c>
      <c r="Y68" s="2">
        <v>-228</v>
      </c>
      <c r="Z68" s="2">
        <v>24</v>
      </c>
      <c r="AA68" s="8">
        <f>Table2[[#This Row],[HOME MARGIN]]/Table2[[#This Row],[HOME GAMES]]</f>
        <v>2.8676470588235294</v>
      </c>
      <c r="AB68" s="8">
        <f>Table2[[#This Row],[AWAY MARGIN]]/Table2[[#This Row],[AWAY GAMES]]</f>
        <v>-5.8955223880597014</v>
      </c>
      <c r="AC68" s="8">
        <f>Table2[[#This Row],[HOME MARGIN/GAME]]-Table2[[#This Row],[AWAY MARGIN/GAME]]</f>
        <v>8.7631694468832304</v>
      </c>
      <c r="AD68" s="23">
        <f>Table2[[#This Row],[HOME W/L%]]-Table2[[#This Row],[AWAY W/L%]]</f>
        <v>0.245</v>
      </c>
      <c r="AE68" s="22"/>
      <c r="AF68"/>
    </row>
    <row r="69" spans="1:32" ht="16" hidden="1" customHeight="1" x14ac:dyDescent="0.2">
      <c r="A69" s="1">
        <v>342</v>
      </c>
      <c r="B69" s="1"/>
      <c r="C69" s="2" t="s">
        <v>221</v>
      </c>
      <c r="D69" s="2" t="str">
        <f>IF(COUNTIF($AG$3:$AG$20,C69)&gt;0,$AG$2,
 IF(COUNTIF($AH$3:$AH$20,C69)&gt;0,$AH$2,
 IF(COUNTIF($AI$3:$AI$20,C69)&gt;0,$AI$2,
 IF(COUNTIF($AJ$3:$AJ$20,C69)&gt;0,$AJ$2,
 IF(COUNTIF($AK$3:$AK$20,C69)&gt;0,$AK$2,
 IF(COUNTIF($AL$3:$AL$20,C69)&gt;0,$AL$2,
 IF(COUNTIF($AM$3:$AM$20,C69)&gt;0,$AM$2,"Not Found")))))))</f>
        <v>Not Found</v>
      </c>
      <c r="E69" s="2" t="s">
        <v>10</v>
      </c>
      <c r="F69" s="2" t="s">
        <v>11</v>
      </c>
      <c r="G69" s="2">
        <v>122</v>
      </c>
      <c r="H69" s="2">
        <v>188</v>
      </c>
      <c r="I69" s="2">
        <v>156</v>
      </c>
      <c r="J69" s="2">
        <v>-2604</v>
      </c>
      <c r="K69" s="4">
        <v>0.38500000000000001</v>
      </c>
      <c r="L69" s="4">
        <v>0.128</v>
      </c>
      <c r="M69" s="2">
        <v>98.8</v>
      </c>
      <c r="N69" s="2">
        <v>88.6</v>
      </c>
      <c r="O69" s="2">
        <v>96.7</v>
      </c>
      <c r="P69" s="2">
        <v>111.6</v>
      </c>
      <c r="Q69" s="4">
        <v>0.51900000000000002</v>
      </c>
      <c r="R69" s="4">
        <v>0.48299999999999998</v>
      </c>
      <c r="S69" s="4">
        <v>0.52800000000000002</v>
      </c>
      <c r="T69" s="4">
        <v>0.57999999999999996</v>
      </c>
      <c r="U69" s="19">
        <f>Table2[[#This Row],[NET PF]]/Table2[[#This Row],[HOME GAMES]]</f>
        <v>-9.8360655737704916E-2</v>
      </c>
      <c r="V69" s="28">
        <f>393/Table2[[#This Row],[AWAY GAMES]]</f>
        <v>2.5192307692307692</v>
      </c>
      <c r="W69" s="4">
        <v>0.69899999999999995</v>
      </c>
      <c r="X69" s="4">
        <v>0.71399999999999997</v>
      </c>
      <c r="Y69" s="2">
        <v>-12</v>
      </c>
      <c r="Z69" s="2">
        <v>442</v>
      </c>
      <c r="AA69" s="8">
        <f>Table2[[#This Row],[HOME MARGIN]]/Table2[[#This Row],[HOME GAMES]]</f>
        <v>1.540983606557377</v>
      </c>
      <c r="AB69" s="8">
        <f>Table2[[#This Row],[AWAY MARGIN]]/Table2[[#This Row],[AWAY GAMES]]</f>
        <v>-16.692307692307693</v>
      </c>
      <c r="AC69" s="8">
        <f>Table2[[#This Row],[HOME MARGIN/GAME]]-Table2[[#This Row],[AWAY MARGIN/GAME]]</f>
        <v>18.233291298865069</v>
      </c>
      <c r="AD69" s="23">
        <f>Table2[[#This Row],[HOME W/L%]]-Table2[[#This Row],[AWAY W/L%]]</f>
        <v>0.25700000000000001</v>
      </c>
      <c r="AE69" s="22"/>
      <c r="AF69"/>
    </row>
    <row r="70" spans="1:32" ht="16" hidden="1" customHeight="1" x14ac:dyDescent="0.2">
      <c r="A70" s="1">
        <v>315</v>
      </c>
      <c r="B70" s="1"/>
      <c r="C70" s="2" t="s">
        <v>272</v>
      </c>
      <c r="D70" s="2" t="str">
        <f>IF(COUNTIF($AG$3:$AG$20,C70)&gt;0,$AG$2,
 IF(COUNTIF($AH$3:$AH$20,C70)&gt;0,$AH$2,
 IF(COUNTIF($AI$3:$AI$20,C70)&gt;0,$AI$2,
 IF(COUNTIF($AJ$3:$AJ$20,C70)&gt;0,$AJ$2,
 IF(COUNTIF($AK$3:$AK$20,C70)&gt;0,$AK$2,
 IF(COUNTIF($AL$3:$AL$20,C70)&gt;0,$AL$2,
 IF(COUNTIF($AM$3:$AM$20,C70)&gt;0,$AM$2,"Not Found")))))))</f>
        <v>Not Found</v>
      </c>
      <c r="E70" s="2" t="s">
        <v>10</v>
      </c>
      <c r="F70" s="2" t="s">
        <v>11</v>
      </c>
      <c r="G70" s="2">
        <v>136</v>
      </c>
      <c r="H70" s="2">
        <v>375</v>
      </c>
      <c r="I70" s="2">
        <v>138</v>
      </c>
      <c r="J70" s="2">
        <v>-1265</v>
      </c>
      <c r="K70" s="4">
        <v>0.53700000000000003</v>
      </c>
      <c r="L70" s="4">
        <v>0.23200000000000001</v>
      </c>
      <c r="M70" s="2">
        <v>106.3</v>
      </c>
      <c r="N70" s="2">
        <v>98.5</v>
      </c>
      <c r="O70" s="2">
        <v>102.4</v>
      </c>
      <c r="P70" s="2">
        <v>111.5</v>
      </c>
      <c r="Q70" s="4">
        <v>0.57499999999999996</v>
      </c>
      <c r="R70" s="4">
        <v>0.54200000000000004</v>
      </c>
      <c r="S70" s="4">
        <v>0.54500000000000004</v>
      </c>
      <c r="T70" s="4">
        <v>0.58399999999999996</v>
      </c>
      <c r="U70" s="19">
        <f>Table2[[#This Row],[NET PF]]/Table2[[#This Row],[HOME GAMES]]</f>
        <v>-0.9779411764705882</v>
      </c>
      <c r="V70" s="28">
        <f>393/Table2[[#This Row],[AWAY GAMES]]</f>
        <v>2.847826086956522</v>
      </c>
      <c r="W70" s="4">
        <v>0.73399999999999999</v>
      </c>
      <c r="X70" s="4">
        <v>0.745</v>
      </c>
      <c r="Y70" s="2">
        <v>-133</v>
      </c>
      <c r="Z70" s="2">
        <v>284</v>
      </c>
      <c r="AA70" s="8">
        <f>Table2[[#This Row],[HOME MARGIN]]/Table2[[#This Row],[HOME GAMES]]</f>
        <v>2.7573529411764706</v>
      </c>
      <c r="AB70" s="8">
        <f>Table2[[#This Row],[AWAY MARGIN]]/Table2[[#This Row],[AWAY GAMES]]</f>
        <v>-9.1666666666666661</v>
      </c>
      <c r="AC70" s="8">
        <f>Table2[[#This Row],[HOME MARGIN/GAME]]-Table2[[#This Row],[AWAY MARGIN/GAME]]</f>
        <v>11.924019607843137</v>
      </c>
      <c r="AD70" s="23">
        <f>Table2[[#This Row],[HOME W/L%]]-Table2[[#This Row],[AWAY W/L%]]</f>
        <v>0.30500000000000005</v>
      </c>
      <c r="AE70" s="22"/>
      <c r="AF70"/>
    </row>
    <row r="71" spans="1:32" x14ac:dyDescent="0.2">
      <c r="A71" s="1">
        <v>353</v>
      </c>
      <c r="B71" s="1">
        <v>79</v>
      </c>
      <c r="C71" s="2" t="s">
        <v>284</v>
      </c>
      <c r="D71" s="2" t="str">
        <f>IF(COUNTIF($AG$3:$AG$20,C71)&gt;0,$AG$2,
 IF(COUNTIF($AH$3:$AH$20,C71)&gt;0,$AH$2,
 IF(COUNTIF($AI$3:$AI$20,C71)&gt;0,$AI$2,
 IF(COUNTIF($AJ$3:$AJ$20,C71)&gt;0,$AJ$2,
 IF(COUNTIF($AK$3:$AK$20,C71)&gt;0,$AK$2,
 IF(COUNTIF($AL$3:$AL$20,C71)&gt;0,$AL$2,
 IF(COUNTIF($AM$3:$AM$20,C71)&gt;0,$AM$2,"Not Found")))))))</f>
        <v>Big East</v>
      </c>
      <c r="E71" s="2" t="s">
        <v>10</v>
      </c>
      <c r="F71" s="2" t="s">
        <v>11</v>
      </c>
      <c r="G71" s="2">
        <v>164</v>
      </c>
      <c r="H71" s="2">
        <v>44</v>
      </c>
      <c r="I71" s="2">
        <v>114</v>
      </c>
      <c r="J71" s="2">
        <v>-1156</v>
      </c>
      <c r="K71" s="4">
        <v>0.46300000000000002</v>
      </c>
      <c r="L71" s="4">
        <v>0.219</v>
      </c>
      <c r="M71" s="2">
        <v>102.5</v>
      </c>
      <c r="N71" s="2">
        <v>94.4</v>
      </c>
      <c r="O71" s="2">
        <v>102.1</v>
      </c>
      <c r="P71" s="2">
        <v>108.7</v>
      </c>
      <c r="Q71" s="4">
        <v>0.54</v>
      </c>
      <c r="R71" s="4">
        <v>0.51</v>
      </c>
      <c r="S71" s="4">
        <v>0.54</v>
      </c>
      <c r="T71" s="4">
        <v>0.56599999999999995</v>
      </c>
      <c r="U71" s="19">
        <f>Table2[[#This Row],[NET PF]]/Table2[[#This Row],[HOME GAMES]]</f>
        <v>-0.68292682926829273</v>
      </c>
      <c r="V71" s="28">
        <f>393/Table2[[#This Row],[AWAY GAMES]]</f>
        <v>3.4473684210526314</v>
      </c>
      <c r="W71" s="4">
        <v>0.73699999999999999</v>
      </c>
      <c r="X71" s="4">
        <v>0.73499999999999999</v>
      </c>
      <c r="Y71" s="2">
        <v>-112</v>
      </c>
      <c r="Z71" s="2">
        <v>252</v>
      </c>
      <c r="AA71" s="8">
        <f>Table2[[#This Row],[HOME MARGIN]]/Table2[[#This Row],[HOME GAMES]]</f>
        <v>0.26829268292682928</v>
      </c>
      <c r="AB71" s="8">
        <f>Table2[[#This Row],[AWAY MARGIN]]/Table2[[#This Row],[AWAY GAMES]]</f>
        <v>-10.140350877192983</v>
      </c>
      <c r="AC71" s="8">
        <f>Table2[[#This Row],[HOME MARGIN/GAME]]-Table2[[#This Row],[AWAY MARGIN/GAME]]</f>
        <v>10.408643560119812</v>
      </c>
      <c r="AD71" s="23">
        <f>Table2[[#This Row],[HOME W/L%]]-Table2[[#This Row],[AWAY W/L%]]</f>
        <v>0.24400000000000002</v>
      </c>
      <c r="AE71" s="22"/>
      <c r="AF71"/>
    </row>
    <row r="72" spans="1:32" ht="16" hidden="1" customHeight="1" x14ac:dyDescent="0.2">
      <c r="A72" s="1">
        <v>328</v>
      </c>
      <c r="B72" s="1"/>
      <c r="C72" s="2" t="s">
        <v>241</v>
      </c>
      <c r="D72" s="2" t="str">
        <f>IF(COUNTIF($AG$3:$AG$20,C72)&gt;0,$AG$2,
 IF(COUNTIF($AH$3:$AH$20,C72)&gt;0,$AH$2,
 IF(COUNTIF($AI$3:$AI$20,C72)&gt;0,$AI$2,
 IF(COUNTIF($AJ$3:$AJ$20,C72)&gt;0,$AJ$2,
 IF(COUNTIF($AK$3:$AK$20,C72)&gt;0,$AK$2,
 IF(COUNTIF($AL$3:$AL$20,C72)&gt;0,$AL$2,
 IF(COUNTIF($AM$3:$AM$20,C72)&gt;0,$AM$2,"Not Found")))))))</f>
        <v>Not Found</v>
      </c>
      <c r="E72" s="2" t="s">
        <v>10</v>
      </c>
      <c r="F72" s="2" t="s">
        <v>11</v>
      </c>
      <c r="G72" s="2">
        <v>128</v>
      </c>
      <c r="H72" s="2">
        <v>270</v>
      </c>
      <c r="I72" s="2">
        <v>155</v>
      </c>
      <c r="J72" s="2">
        <v>-1654</v>
      </c>
      <c r="K72" s="4">
        <v>0.47699999999999998</v>
      </c>
      <c r="L72" s="4">
        <v>0.20599999999999999</v>
      </c>
      <c r="M72" s="2">
        <v>107.9</v>
      </c>
      <c r="N72" s="2">
        <v>98.2</v>
      </c>
      <c r="O72" s="2">
        <v>105</v>
      </c>
      <c r="P72" s="2">
        <v>113</v>
      </c>
      <c r="Q72" s="4">
        <v>0.55800000000000005</v>
      </c>
      <c r="R72" s="4">
        <v>0.51700000000000002</v>
      </c>
      <c r="S72" s="4">
        <v>0.55500000000000005</v>
      </c>
      <c r="T72" s="4">
        <v>0.58599999999999997</v>
      </c>
      <c r="U72" s="19">
        <f>Table2[[#This Row],[NET PF]]/Table2[[#This Row],[HOME GAMES]]</f>
        <v>-1.28125</v>
      </c>
      <c r="V72" s="28">
        <f>393/Table2[[#This Row],[AWAY GAMES]]</f>
        <v>2.5354838709677421</v>
      </c>
      <c r="W72" s="4">
        <v>0.70499999999999996</v>
      </c>
      <c r="X72" s="4">
        <v>0.73</v>
      </c>
      <c r="Y72" s="2">
        <v>-164</v>
      </c>
      <c r="Z72" s="2">
        <v>297</v>
      </c>
      <c r="AA72" s="8">
        <f>Table2[[#This Row],[HOME MARGIN]]/Table2[[#This Row],[HOME GAMES]]</f>
        <v>2.109375</v>
      </c>
      <c r="AB72" s="8">
        <f>Table2[[#This Row],[AWAY MARGIN]]/Table2[[#This Row],[AWAY GAMES]]</f>
        <v>-10.670967741935485</v>
      </c>
      <c r="AC72" s="8">
        <f>Table2[[#This Row],[HOME MARGIN/GAME]]-Table2[[#This Row],[AWAY MARGIN/GAME]]</f>
        <v>12.780342741935485</v>
      </c>
      <c r="AD72" s="23">
        <f>Table2[[#This Row],[HOME W/L%]]-Table2[[#This Row],[AWAY W/L%]]</f>
        <v>0.27100000000000002</v>
      </c>
      <c r="AE72" s="22"/>
      <c r="AF72"/>
    </row>
    <row r="73" spans="1:32" ht="16" hidden="1" customHeight="1" x14ac:dyDescent="0.2">
      <c r="A73" s="1">
        <v>66</v>
      </c>
      <c r="B73" s="1"/>
      <c r="C73" s="2" t="s">
        <v>102</v>
      </c>
      <c r="D73" s="2" t="str">
        <f>IF(COUNTIF($AG$3:$AG$20,C73)&gt;0,$AG$2,
 IF(COUNTIF($AH$3:$AH$20,C73)&gt;0,$AH$2,
 IF(COUNTIF($AI$3:$AI$20,C73)&gt;0,$AI$2,
 IF(COUNTIF($AJ$3:$AJ$20,C73)&gt;0,$AJ$2,
 IF(COUNTIF($AK$3:$AK$20,C73)&gt;0,$AK$2,
 IF(COUNTIF($AL$3:$AL$20,C73)&gt;0,$AL$2,
 IF(COUNTIF($AM$3:$AM$20,C73)&gt;0,$AM$2,"Not Found")))))))</f>
        <v>Not Found</v>
      </c>
      <c r="E73" s="2" t="s">
        <v>10</v>
      </c>
      <c r="F73" s="2" t="s">
        <v>11</v>
      </c>
      <c r="G73" s="2">
        <v>152</v>
      </c>
      <c r="H73" s="2">
        <v>1768</v>
      </c>
      <c r="I73" s="2">
        <v>117</v>
      </c>
      <c r="J73" s="2">
        <v>-267</v>
      </c>
      <c r="K73" s="4">
        <v>0.78900000000000003</v>
      </c>
      <c r="L73" s="4">
        <v>0.45300000000000001</v>
      </c>
      <c r="M73" s="2">
        <v>112.4</v>
      </c>
      <c r="N73" s="2">
        <v>100.1</v>
      </c>
      <c r="O73" s="2">
        <v>95.5</v>
      </c>
      <c r="P73" s="2">
        <v>103.4</v>
      </c>
      <c r="Q73" s="4">
        <v>0.58299999999999996</v>
      </c>
      <c r="R73" s="4">
        <v>0.53700000000000003</v>
      </c>
      <c r="S73" s="4">
        <v>0.51500000000000001</v>
      </c>
      <c r="T73" s="4">
        <v>0.54600000000000004</v>
      </c>
      <c r="U73" s="19">
        <f>Table2[[#This Row],[NET PF]]/Table2[[#This Row],[HOME GAMES]]</f>
        <v>-2.0855263157894739</v>
      </c>
      <c r="V73" s="28">
        <f>393/Table2[[#This Row],[AWAY GAMES]]</f>
        <v>3.358974358974359</v>
      </c>
      <c r="W73" s="4">
        <v>0.71</v>
      </c>
      <c r="X73" s="4">
        <v>0.71899999999999997</v>
      </c>
      <c r="Y73" s="2">
        <v>-317</v>
      </c>
      <c r="Z73" s="2">
        <v>173</v>
      </c>
      <c r="AA73" s="8">
        <f>Table2[[#This Row],[HOME MARGIN]]/Table2[[#This Row],[HOME GAMES]]</f>
        <v>11.631578947368421</v>
      </c>
      <c r="AB73" s="8">
        <f>Table2[[#This Row],[AWAY MARGIN]]/Table2[[#This Row],[AWAY GAMES]]</f>
        <v>-2.2820512820512819</v>
      </c>
      <c r="AC73" s="8">
        <f>Table2[[#This Row],[HOME MARGIN/GAME]]-Table2[[#This Row],[AWAY MARGIN/GAME]]</f>
        <v>13.913630229419702</v>
      </c>
      <c r="AD73" s="23">
        <f>Table2[[#This Row],[HOME W/L%]]-Table2[[#This Row],[AWAY W/L%]]</f>
        <v>0.33600000000000002</v>
      </c>
      <c r="AE73" s="22"/>
      <c r="AF73"/>
    </row>
    <row r="74" spans="1:32" ht="16" hidden="1" customHeight="1" x14ac:dyDescent="0.2">
      <c r="A74" s="1">
        <v>250</v>
      </c>
      <c r="B74" s="1"/>
      <c r="C74" s="2" t="s">
        <v>371</v>
      </c>
      <c r="D74" s="2" t="str">
        <f>IF(COUNTIF($AG$3:$AG$20,C74)&gt;0,$AG$2,
 IF(COUNTIF($AH$3:$AH$20,C74)&gt;0,$AH$2,
 IF(COUNTIF($AI$3:$AI$20,C74)&gt;0,$AI$2,
 IF(COUNTIF($AJ$3:$AJ$20,C74)&gt;0,$AJ$2,
 IF(COUNTIF($AK$3:$AK$20,C74)&gt;0,$AK$2,
 IF(COUNTIF($AL$3:$AL$20,C74)&gt;0,$AL$2,
 IF(COUNTIF($AM$3:$AM$20,C74)&gt;0,$AM$2,"Not Found")))))))</f>
        <v>Not Found</v>
      </c>
      <c r="E74" s="2" t="s">
        <v>10</v>
      </c>
      <c r="F74" s="2" t="s">
        <v>11</v>
      </c>
      <c r="G74" s="2">
        <v>130</v>
      </c>
      <c r="H74" s="2">
        <v>735</v>
      </c>
      <c r="I74" s="2">
        <v>137</v>
      </c>
      <c r="J74" s="2">
        <v>-711</v>
      </c>
      <c r="K74" s="4">
        <v>0.61499999999999999</v>
      </c>
      <c r="L74" s="4">
        <v>0.27700000000000002</v>
      </c>
      <c r="M74" s="2">
        <v>106.2</v>
      </c>
      <c r="N74" s="2">
        <v>100.2</v>
      </c>
      <c r="O74" s="2">
        <v>98.1</v>
      </c>
      <c r="P74" s="2">
        <v>107.7</v>
      </c>
      <c r="Q74" s="4">
        <v>0.55100000000000005</v>
      </c>
      <c r="R74" s="4">
        <v>0.52300000000000002</v>
      </c>
      <c r="S74" s="4">
        <v>0.51500000000000001</v>
      </c>
      <c r="T74" s="4">
        <v>0.55500000000000005</v>
      </c>
      <c r="U74" s="19">
        <f>Table2[[#This Row],[NET PF]]/Table2[[#This Row],[HOME GAMES]]</f>
        <v>-1.4538461538461538</v>
      </c>
      <c r="V74" s="28">
        <f>393/Table2[[#This Row],[AWAY GAMES]]</f>
        <v>2.8686131386861313</v>
      </c>
      <c r="W74" s="4">
        <v>0.71299999999999997</v>
      </c>
      <c r="X74" s="4">
        <v>0.69799999999999995</v>
      </c>
      <c r="Y74" s="2">
        <v>-189</v>
      </c>
      <c r="Z74" s="2">
        <v>160</v>
      </c>
      <c r="AA74" s="8">
        <f>Table2[[#This Row],[HOME MARGIN]]/Table2[[#This Row],[HOME GAMES]]</f>
        <v>5.6538461538461542</v>
      </c>
      <c r="AB74" s="8">
        <f>Table2[[#This Row],[AWAY MARGIN]]/Table2[[#This Row],[AWAY GAMES]]</f>
        <v>-5.1897810218978107</v>
      </c>
      <c r="AC74" s="8">
        <f>Table2[[#This Row],[HOME MARGIN/GAME]]-Table2[[#This Row],[AWAY MARGIN/GAME]]</f>
        <v>10.843627175743965</v>
      </c>
      <c r="AD74" s="23">
        <f>Table2[[#This Row],[HOME W/L%]]-Table2[[#This Row],[AWAY W/L%]]</f>
        <v>0.33799999999999997</v>
      </c>
      <c r="AE74" s="22"/>
      <c r="AF74"/>
    </row>
    <row r="75" spans="1:32" ht="16" customHeight="1" x14ac:dyDescent="0.2">
      <c r="A75" s="1">
        <v>3</v>
      </c>
      <c r="B75" s="17">
        <v>3</v>
      </c>
      <c r="C75" s="33" t="s">
        <v>14</v>
      </c>
      <c r="D75" s="33" t="str">
        <f>IF(COUNTIF($AG$3:$AG$20,C75)&gt;0,$AG$2,
 IF(COUNTIF($AH$3:$AH$20,C75)&gt;0,$AH$2,
 IF(COUNTIF($AI$3:$AI$20,C75)&gt;0,$AI$2,
 IF(COUNTIF($AJ$3:$AJ$20,C75)&gt;0,$AJ$2,
 IF(COUNTIF($AK$3:$AK$20,C75)&gt;0,$AK$2,
 IF(COUNTIF($AL$3:$AL$20,C75)&gt;0,$AL$2,
 IF(COUNTIF($AM$3:$AM$20,C75)&gt;0,$AM$2,"Not Found")))))))</f>
        <v>ACC</v>
      </c>
      <c r="E75" s="33" t="s">
        <v>10</v>
      </c>
      <c r="F75" s="33" t="s">
        <v>11</v>
      </c>
      <c r="G75" s="33">
        <v>166</v>
      </c>
      <c r="H75" s="33">
        <v>3076</v>
      </c>
      <c r="I75" s="33">
        <v>102</v>
      </c>
      <c r="J75" s="33">
        <v>635</v>
      </c>
      <c r="K75" s="34">
        <v>0.88</v>
      </c>
      <c r="L75" s="34">
        <v>0.60799999999999998</v>
      </c>
      <c r="M75" s="33">
        <v>117.4</v>
      </c>
      <c r="N75" s="33">
        <v>109.8</v>
      </c>
      <c r="O75" s="33">
        <v>91.4</v>
      </c>
      <c r="P75" s="33">
        <v>100.9</v>
      </c>
      <c r="Q75" s="34">
        <v>0.58699999999999997</v>
      </c>
      <c r="R75" s="34">
        <v>0.56499999999999995</v>
      </c>
      <c r="S75" s="34">
        <v>0.48199999999999998</v>
      </c>
      <c r="T75" s="34">
        <v>0.51900000000000002</v>
      </c>
      <c r="U75" s="35">
        <f>Table2[[#This Row],[NET PF]]/Table2[[#This Row],[HOME GAMES]]</f>
        <v>-2.8433734939759034</v>
      </c>
      <c r="V75" s="36">
        <f>393/Table2[[#This Row],[AWAY GAMES]]</f>
        <v>3.8529411764705883</v>
      </c>
      <c r="W75" s="34">
        <v>0.7</v>
      </c>
      <c r="X75" s="34">
        <v>0.70599999999999996</v>
      </c>
      <c r="Y75" s="33">
        <v>-472</v>
      </c>
      <c r="Z75" s="33">
        <v>139</v>
      </c>
      <c r="AA75" s="35">
        <f>Table2[[#This Row],[HOME MARGIN]]/Table2[[#This Row],[HOME GAMES]]</f>
        <v>18.53012048192771</v>
      </c>
      <c r="AB75" s="35">
        <f>Table2[[#This Row],[AWAY MARGIN]]/Table2[[#This Row],[AWAY GAMES]]</f>
        <v>6.2254901960784315</v>
      </c>
      <c r="AC75" s="35">
        <f>Table2[[#This Row],[HOME MARGIN/GAME]]-Table2[[#This Row],[AWAY MARGIN/GAME]]</f>
        <v>12.304630285849278</v>
      </c>
      <c r="AD75" s="34">
        <f>Table2[[#This Row],[HOME W/L%]]-Table2[[#This Row],[AWAY W/L%]]</f>
        <v>0.27200000000000002</v>
      </c>
      <c r="AE75" s="22"/>
      <c r="AF75"/>
    </row>
    <row r="76" spans="1:32" hidden="1" x14ac:dyDescent="0.2">
      <c r="A76" s="1">
        <v>256</v>
      </c>
      <c r="B76" s="1"/>
      <c r="C76" s="2" t="s">
        <v>151</v>
      </c>
      <c r="D76" s="2" t="str">
        <f>IF(COUNTIF($AG$3:$AG$20,C76)&gt;0,$AG$2,
 IF(COUNTIF($AH$3:$AH$20,C76)&gt;0,$AH$2,
 IF(COUNTIF($AI$3:$AI$20,C76)&gt;0,$AI$2,
 IF(COUNTIF($AJ$3:$AJ$20,C76)&gt;0,$AJ$2,
 IF(COUNTIF($AK$3:$AK$20,C76)&gt;0,$AK$2,
 IF(COUNTIF($AL$3:$AL$20,C76)&gt;0,$AL$2,
 IF(COUNTIF($AM$3:$AM$20,C76)&gt;0,$AM$2,"Not Found")))))))</f>
        <v>Not Found</v>
      </c>
      <c r="E76" s="2" t="s">
        <v>10</v>
      </c>
      <c r="F76" s="2" t="s">
        <v>11</v>
      </c>
      <c r="G76" s="2">
        <v>158</v>
      </c>
      <c r="H76" s="2">
        <v>715</v>
      </c>
      <c r="I76" s="2">
        <v>99</v>
      </c>
      <c r="J76" s="2">
        <v>-444</v>
      </c>
      <c r="K76" s="4">
        <v>0.63300000000000001</v>
      </c>
      <c r="L76" s="4">
        <v>0.30299999999999999</v>
      </c>
      <c r="M76" s="2">
        <v>103.6</v>
      </c>
      <c r="N76" s="2">
        <v>99.5</v>
      </c>
      <c r="O76" s="2">
        <v>97.2</v>
      </c>
      <c r="P76" s="2">
        <v>105.9</v>
      </c>
      <c r="Q76" s="4">
        <v>0.53500000000000003</v>
      </c>
      <c r="R76" s="4">
        <v>0.51800000000000002</v>
      </c>
      <c r="S76" s="4">
        <v>0.51500000000000001</v>
      </c>
      <c r="T76" s="4">
        <v>0.55100000000000005</v>
      </c>
      <c r="U76" s="19">
        <f>Table2[[#This Row],[NET PF]]/Table2[[#This Row],[HOME GAMES]]</f>
        <v>-1.0253164556962024</v>
      </c>
      <c r="V76" s="28">
        <f>393/Table2[[#This Row],[AWAY GAMES]]</f>
        <v>3.9696969696969697</v>
      </c>
      <c r="W76" s="4">
        <v>0.68400000000000005</v>
      </c>
      <c r="X76" s="4">
        <v>0.71099999999999997</v>
      </c>
      <c r="Y76" s="2">
        <v>-162</v>
      </c>
      <c r="Z76" s="2">
        <v>240</v>
      </c>
      <c r="AA76" s="8">
        <f>Table2[[#This Row],[HOME MARGIN]]/Table2[[#This Row],[HOME GAMES]]</f>
        <v>4.5253164556962027</v>
      </c>
      <c r="AB76" s="8">
        <f>Table2[[#This Row],[AWAY MARGIN]]/Table2[[#This Row],[AWAY GAMES]]</f>
        <v>-4.4848484848484844</v>
      </c>
      <c r="AC76" s="8">
        <f>Table2[[#This Row],[HOME MARGIN/GAME]]-Table2[[#This Row],[AWAY MARGIN/GAME]]</f>
        <v>9.0101649405446871</v>
      </c>
      <c r="AD76" s="23">
        <f>Table2[[#This Row],[HOME W/L%]]-Table2[[#This Row],[AWAY W/L%]]</f>
        <v>0.33</v>
      </c>
      <c r="AE76" s="22"/>
      <c r="AF76"/>
    </row>
    <row r="77" spans="1:32" ht="16" hidden="1" customHeight="1" x14ac:dyDescent="0.2">
      <c r="A77" s="1">
        <v>331</v>
      </c>
      <c r="B77" s="1"/>
      <c r="C77" s="2" t="s">
        <v>294</v>
      </c>
      <c r="D77" s="2" t="str">
        <f>IF(COUNTIF($AG$3:$AG$20,C77)&gt;0,$AG$2,
 IF(COUNTIF($AH$3:$AH$20,C77)&gt;0,$AH$2,
 IF(COUNTIF($AI$3:$AI$20,C77)&gt;0,$AI$2,
 IF(COUNTIF($AJ$3:$AJ$20,C77)&gt;0,$AJ$2,
 IF(COUNTIF($AK$3:$AK$20,C77)&gt;0,$AK$2,
 IF(COUNTIF($AL$3:$AL$20,C77)&gt;0,$AL$2,
 IF(COUNTIF($AM$3:$AM$20,C77)&gt;0,$AM$2,"Not Found")))))))</f>
        <v>Not Found</v>
      </c>
      <c r="E77" s="2" t="s">
        <v>10</v>
      </c>
      <c r="F77" s="2" t="s">
        <v>11</v>
      </c>
      <c r="G77" s="2">
        <v>168</v>
      </c>
      <c r="H77" s="2">
        <v>254</v>
      </c>
      <c r="I77" s="2">
        <v>104</v>
      </c>
      <c r="J77" s="2">
        <v>-1101</v>
      </c>
      <c r="K77" s="4">
        <v>0.57699999999999996</v>
      </c>
      <c r="L77" s="4">
        <v>0.192</v>
      </c>
      <c r="M77" s="2">
        <v>99.6</v>
      </c>
      <c r="N77" s="2">
        <v>93.5</v>
      </c>
      <c r="O77" s="2">
        <v>97.4</v>
      </c>
      <c r="P77" s="2">
        <v>108.9</v>
      </c>
      <c r="Q77" s="4">
        <v>0.52</v>
      </c>
      <c r="R77" s="4">
        <v>0.49199999999999999</v>
      </c>
      <c r="S77" s="4">
        <v>0.51600000000000001</v>
      </c>
      <c r="T77" s="4">
        <v>0.55900000000000005</v>
      </c>
      <c r="U77" s="19">
        <f>Table2[[#This Row],[NET PF]]/Table2[[#This Row],[HOME GAMES]]</f>
        <v>-1.6666666666666667</v>
      </c>
      <c r="V77" s="28">
        <f>393/Table2[[#This Row],[AWAY GAMES]]</f>
        <v>3.7788461538461537</v>
      </c>
      <c r="W77" s="4">
        <v>0.70099999999999996</v>
      </c>
      <c r="X77" s="4">
        <v>0.71299999999999997</v>
      </c>
      <c r="Y77" s="2">
        <v>-280</v>
      </c>
      <c r="Z77" s="2">
        <v>241</v>
      </c>
      <c r="AA77" s="8">
        <f>Table2[[#This Row],[HOME MARGIN]]/Table2[[#This Row],[HOME GAMES]]</f>
        <v>1.5119047619047619</v>
      </c>
      <c r="AB77" s="8">
        <f>Table2[[#This Row],[AWAY MARGIN]]/Table2[[#This Row],[AWAY GAMES]]</f>
        <v>-10.586538461538462</v>
      </c>
      <c r="AC77" s="8">
        <f>Table2[[#This Row],[HOME MARGIN/GAME]]-Table2[[#This Row],[AWAY MARGIN/GAME]]</f>
        <v>12.098443223443223</v>
      </c>
      <c r="AD77" s="23">
        <f>Table2[[#This Row],[HOME W/L%]]-Table2[[#This Row],[AWAY W/L%]]</f>
        <v>0.38499999999999995</v>
      </c>
      <c r="AE77" s="22"/>
      <c r="AF77"/>
    </row>
    <row r="78" spans="1:32" ht="16" hidden="1" customHeight="1" x14ac:dyDescent="0.2">
      <c r="A78" s="1">
        <v>79</v>
      </c>
      <c r="B78" s="1"/>
      <c r="C78" s="2" t="s">
        <v>59</v>
      </c>
      <c r="D78" s="2" t="str">
        <f>IF(COUNTIF($AG$3:$AG$20,C78)&gt;0,$AG$2,
 IF(COUNTIF($AH$3:$AH$20,C78)&gt;0,$AH$2,
 IF(COUNTIF($AI$3:$AI$20,C78)&gt;0,$AI$2,
 IF(COUNTIF($AJ$3:$AJ$20,C78)&gt;0,$AJ$2,
 IF(COUNTIF($AK$3:$AK$20,C78)&gt;0,$AK$2,
 IF(COUNTIF($AL$3:$AL$20,C78)&gt;0,$AL$2,
 IF(COUNTIF($AM$3:$AM$20,C78)&gt;0,$AM$2,"Not Found")))))))</f>
        <v>Not Found</v>
      </c>
      <c r="E78" s="2" t="s">
        <v>10</v>
      </c>
      <c r="F78" s="2" t="s">
        <v>11</v>
      </c>
      <c r="G78" s="2">
        <v>150</v>
      </c>
      <c r="H78" s="2">
        <v>1707</v>
      </c>
      <c r="I78" s="2">
        <v>138</v>
      </c>
      <c r="J78" s="2">
        <v>-21</v>
      </c>
      <c r="K78" s="4">
        <v>0.753</v>
      </c>
      <c r="L78" s="4">
        <v>0.49299999999999999</v>
      </c>
      <c r="M78" s="2">
        <v>111.5</v>
      </c>
      <c r="N78" s="2">
        <v>101.9</v>
      </c>
      <c r="O78" s="2">
        <v>95.3</v>
      </c>
      <c r="P78" s="2">
        <v>102.1</v>
      </c>
      <c r="Q78" s="4">
        <v>0.57199999999999995</v>
      </c>
      <c r="R78" s="4">
        <v>0.52900000000000003</v>
      </c>
      <c r="S78" s="4">
        <v>0.51900000000000002</v>
      </c>
      <c r="T78" s="4">
        <v>0.54</v>
      </c>
      <c r="U78" s="19">
        <f>Table2[[#This Row],[NET PF]]/Table2[[#This Row],[HOME GAMES]]</f>
        <v>-1.8933333333333333</v>
      </c>
      <c r="V78" s="28">
        <f>393/Table2[[#This Row],[AWAY GAMES]]</f>
        <v>2.847826086956522</v>
      </c>
      <c r="W78" s="4">
        <v>0.69499999999999995</v>
      </c>
      <c r="X78" s="4">
        <v>0.71799999999999997</v>
      </c>
      <c r="Y78" s="2">
        <v>-284</v>
      </c>
      <c r="Z78" s="2">
        <v>247</v>
      </c>
      <c r="AA78" s="8">
        <f>Table2[[#This Row],[HOME MARGIN]]/Table2[[#This Row],[HOME GAMES]]</f>
        <v>11.38</v>
      </c>
      <c r="AB78" s="8">
        <f>Table2[[#This Row],[AWAY MARGIN]]/Table2[[#This Row],[AWAY GAMES]]</f>
        <v>-0.15217391304347827</v>
      </c>
      <c r="AC78" s="8">
        <f>Table2[[#This Row],[HOME MARGIN/GAME]]-Table2[[#This Row],[AWAY MARGIN/GAME]]</f>
        <v>11.532173913043479</v>
      </c>
      <c r="AD78" s="23">
        <f>Table2[[#This Row],[HOME W/L%]]-Table2[[#This Row],[AWAY W/L%]]</f>
        <v>0.26</v>
      </c>
      <c r="AE78" s="22"/>
      <c r="AF78"/>
    </row>
    <row r="79" spans="1:32" ht="16" hidden="1" customHeight="1" x14ac:dyDescent="0.2">
      <c r="A79" s="1">
        <v>292</v>
      </c>
      <c r="B79" s="1"/>
      <c r="C79" s="2" t="s">
        <v>268</v>
      </c>
      <c r="D79" s="2" t="str">
        <f>IF(COUNTIF($AG$3:$AG$20,C79)&gt;0,$AG$2,
 IF(COUNTIF($AH$3:$AH$20,C79)&gt;0,$AH$2,
 IF(COUNTIF($AI$3:$AI$20,C79)&gt;0,$AI$2,
 IF(COUNTIF($AJ$3:$AJ$20,C79)&gt;0,$AJ$2,
 IF(COUNTIF($AK$3:$AK$20,C79)&gt;0,$AK$2,
 IF(COUNTIF($AL$3:$AL$20,C79)&gt;0,$AL$2,
 IF(COUNTIF($AM$3:$AM$20,C79)&gt;0,$AM$2,"Not Found")))))))</f>
        <v>Not Found</v>
      </c>
      <c r="E79" s="2" t="s">
        <v>10</v>
      </c>
      <c r="F79" s="2" t="s">
        <v>11</v>
      </c>
      <c r="G79" s="2">
        <v>135</v>
      </c>
      <c r="H79" s="2">
        <v>534</v>
      </c>
      <c r="I79" s="2">
        <v>153</v>
      </c>
      <c r="J79" s="2">
        <v>-1278</v>
      </c>
      <c r="K79" s="4">
        <v>0.53300000000000003</v>
      </c>
      <c r="L79" s="4">
        <v>0.26100000000000001</v>
      </c>
      <c r="M79" s="2">
        <v>103.4</v>
      </c>
      <c r="N79" s="2">
        <v>92.9</v>
      </c>
      <c r="O79" s="2">
        <v>97.9</v>
      </c>
      <c r="P79" s="2">
        <v>104.9</v>
      </c>
      <c r="Q79" s="4">
        <v>0.54</v>
      </c>
      <c r="R79" s="4">
        <v>0.49099999999999999</v>
      </c>
      <c r="S79" s="4">
        <v>0.52900000000000003</v>
      </c>
      <c r="T79" s="4">
        <v>0.55100000000000005</v>
      </c>
      <c r="U79" s="19">
        <f>Table2[[#This Row],[NET PF]]/Table2[[#This Row],[HOME GAMES]]</f>
        <v>-1.2592592592592593</v>
      </c>
      <c r="V79" s="28">
        <f>393/Table2[[#This Row],[AWAY GAMES]]</f>
        <v>2.5686274509803924</v>
      </c>
      <c r="W79" s="4">
        <v>0.70799999999999996</v>
      </c>
      <c r="X79" s="4">
        <v>0.71199999999999997</v>
      </c>
      <c r="Y79" s="2">
        <v>-170</v>
      </c>
      <c r="Z79" s="2">
        <v>314</v>
      </c>
      <c r="AA79" s="8">
        <f>Table2[[#This Row],[HOME MARGIN]]/Table2[[#This Row],[HOME GAMES]]</f>
        <v>3.9555555555555557</v>
      </c>
      <c r="AB79" s="8">
        <f>Table2[[#This Row],[AWAY MARGIN]]/Table2[[#This Row],[AWAY GAMES]]</f>
        <v>-8.3529411764705888</v>
      </c>
      <c r="AC79" s="8">
        <f>Table2[[#This Row],[HOME MARGIN/GAME]]-Table2[[#This Row],[AWAY MARGIN/GAME]]</f>
        <v>12.308496732026144</v>
      </c>
      <c r="AD79" s="23">
        <f>Table2[[#This Row],[HOME W/L%]]-Table2[[#This Row],[AWAY W/L%]]</f>
        <v>0.27200000000000002</v>
      </c>
      <c r="AE79" s="22"/>
      <c r="AF79"/>
    </row>
    <row r="80" spans="1:32" ht="16" hidden="1" customHeight="1" x14ac:dyDescent="0.2">
      <c r="A80" s="1">
        <v>108</v>
      </c>
      <c r="B80" s="1"/>
      <c r="C80" s="2" t="s">
        <v>330</v>
      </c>
      <c r="D80" s="2" t="str">
        <f>IF(COUNTIF($AG$3:$AG$20,C80)&gt;0,$AG$2,
 IF(COUNTIF($AH$3:$AH$20,C80)&gt;0,$AH$2,
 IF(COUNTIF($AI$3:$AI$20,C80)&gt;0,$AI$2,
 IF(COUNTIF($AJ$3:$AJ$20,C80)&gt;0,$AJ$2,
 IF(COUNTIF($AK$3:$AK$20,C80)&gt;0,$AK$2,
 IF(COUNTIF($AL$3:$AL$20,C80)&gt;0,$AL$2,
 IF(COUNTIF($AM$3:$AM$20,C80)&gt;0,$AM$2,"Not Found")))))))</f>
        <v>Not Found</v>
      </c>
      <c r="E80" s="2" t="s">
        <v>10</v>
      </c>
      <c r="F80" s="2" t="s">
        <v>11</v>
      </c>
      <c r="G80" s="2">
        <v>145</v>
      </c>
      <c r="H80" s="2">
        <v>1457</v>
      </c>
      <c r="I80" s="2">
        <v>145</v>
      </c>
      <c r="J80" s="2">
        <v>-901</v>
      </c>
      <c r="K80" s="4">
        <v>0.69699999999999995</v>
      </c>
      <c r="L80" s="4">
        <v>0.32400000000000001</v>
      </c>
      <c r="M80" s="2">
        <v>109.4</v>
      </c>
      <c r="N80" s="2">
        <v>99.7</v>
      </c>
      <c r="O80" s="2">
        <v>96.2</v>
      </c>
      <c r="P80" s="2">
        <v>108</v>
      </c>
      <c r="Q80" s="4">
        <v>0.55800000000000005</v>
      </c>
      <c r="R80" s="4">
        <v>0.52200000000000002</v>
      </c>
      <c r="S80" s="4">
        <v>0.52500000000000002</v>
      </c>
      <c r="T80" s="4">
        <v>0.56899999999999995</v>
      </c>
      <c r="U80" s="19">
        <f>Table2[[#This Row],[NET PF]]/Table2[[#This Row],[HOME GAMES]]</f>
        <v>-0.85517241379310349</v>
      </c>
      <c r="V80" s="28">
        <f>393/Table2[[#This Row],[AWAY GAMES]]</f>
        <v>2.7103448275862068</v>
      </c>
      <c r="W80" s="4">
        <v>0.71199999999999997</v>
      </c>
      <c r="X80" s="4">
        <v>0.72199999999999998</v>
      </c>
      <c r="Y80" s="2">
        <v>-124</v>
      </c>
      <c r="Z80" s="2">
        <v>322</v>
      </c>
      <c r="AA80" s="8">
        <f>Table2[[#This Row],[HOME MARGIN]]/Table2[[#This Row],[HOME GAMES]]</f>
        <v>10.048275862068966</v>
      </c>
      <c r="AB80" s="8">
        <f>Table2[[#This Row],[AWAY MARGIN]]/Table2[[#This Row],[AWAY GAMES]]</f>
        <v>-6.2137931034482756</v>
      </c>
      <c r="AC80" s="8">
        <f>Table2[[#This Row],[HOME MARGIN/GAME]]-Table2[[#This Row],[AWAY MARGIN/GAME]]</f>
        <v>16.262068965517241</v>
      </c>
      <c r="AD80" s="23">
        <f>Table2[[#This Row],[HOME W/L%]]-Table2[[#This Row],[AWAY W/L%]]</f>
        <v>0.37299999999999994</v>
      </c>
      <c r="AE80" s="22"/>
      <c r="AF80"/>
    </row>
    <row r="81" spans="1:32" ht="16" hidden="1" customHeight="1" x14ac:dyDescent="0.2">
      <c r="A81" s="1">
        <v>226</v>
      </c>
      <c r="B81" s="1"/>
      <c r="C81" s="2" t="s">
        <v>274</v>
      </c>
      <c r="D81" s="2" t="str">
        <f>IF(COUNTIF($AG$3:$AG$20,C81)&gt;0,$AG$2,
 IF(COUNTIF($AH$3:$AH$20,C81)&gt;0,$AH$2,
 IF(COUNTIF($AI$3:$AI$20,C81)&gt;0,$AI$2,
 IF(COUNTIF($AJ$3:$AJ$20,C81)&gt;0,$AJ$2,
 IF(COUNTIF($AK$3:$AK$20,C81)&gt;0,$AK$2,
 IF(COUNTIF($AL$3:$AL$20,C81)&gt;0,$AL$2,
 IF(COUNTIF($AM$3:$AM$20,C81)&gt;0,$AM$2,"Not Found")))))))</f>
        <v>Not Found</v>
      </c>
      <c r="E81" s="2" t="s">
        <v>10</v>
      </c>
      <c r="F81" s="2" t="s">
        <v>11</v>
      </c>
      <c r="G81" s="2">
        <v>145</v>
      </c>
      <c r="H81" s="2">
        <v>835</v>
      </c>
      <c r="I81" s="2">
        <v>144</v>
      </c>
      <c r="J81" s="2">
        <v>-1253</v>
      </c>
      <c r="K81" s="4">
        <v>0.64800000000000002</v>
      </c>
      <c r="L81" s="4">
        <v>0.26400000000000001</v>
      </c>
      <c r="M81" s="2">
        <v>104.2</v>
      </c>
      <c r="N81" s="2">
        <v>97.1</v>
      </c>
      <c r="O81" s="2">
        <v>96.1</v>
      </c>
      <c r="P81" s="2">
        <v>109.5</v>
      </c>
      <c r="Q81" s="4">
        <v>0.54700000000000004</v>
      </c>
      <c r="R81" s="4">
        <v>0.51300000000000001</v>
      </c>
      <c r="S81" s="4">
        <v>0.51800000000000002</v>
      </c>
      <c r="T81" s="4">
        <v>0.56599999999999995</v>
      </c>
      <c r="U81" s="19">
        <f>Table2[[#This Row],[NET PF]]/Table2[[#This Row],[HOME GAMES]]</f>
        <v>-2.3310344827586209</v>
      </c>
      <c r="V81" s="28">
        <f>393/Table2[[#This Row],[AWAY GAMES]]</f>
        <v>2.7291666666666665</v>
      </c>
      <c r="W81" s="4">
        <v>0.68899999999999995</v>
      </c>
      <c r="X81" s="4">
        <v>0.72199999999999998</v>
      </c>
      <c r="Y81" s="2">
        <v>-338</v>
      </c>
      <c r="Z81" s="2">
        <v>315</v>
      </c>
      <c r="AA81" s="8">
        <f>Table2[[#This Row],[HOME MARGIN]]/Table2[[#This Row],[HOME GAMES]]</f>
        <v>5.7586206896551726</v>
      </c>
      <c r="AB81" s="8">
        <f>Table2[[#This Row],[AWAY MARGIN]]/Table2[[#This Row],[AWAY GAMES]]</f>
        <v>-8.7013888888888893</v>
      </c>
      <c r="AC81" s="8">
        <f>Table2[[#This Row],[HOME MARGIN/GAME]]-Table2[[#This Row],[AWAY MARGIN/GAME]]</f>
        <v>14.460009578544062</v>
      </c>
      <c r="AD81" s="23">
        <f>Table2[[#This Row],[HOME W/L%]]-Table2[[#This Row],[AWAY W/L%]]</f>
        <v>0.38400000000000001</v>
      </c>
      <c r="AE81" s="22"/>
      <c r="AF81"/>
    </row>
    <row r="82" spans="1:32" hidden="1" x14ac:dyDescent="0.2">
      <c r="A82" s="1">
        <v>103</v>
      </c>
      <c r="B82" s="1"/>
      <c r="C82" s="2" t="s">
        <v>167</v>
      </c>
      <c r="D82" s="2" t="str">
        <f>IF(COUNTIF($AG$3:$AG$20,C82)&gt;0,$AG$2,
 IF(COUNTIF($AH$3:$AH$20,C82)&gt;0,$AH$2,
 IF(COUNTIF($AI$3:$AI$20,C82)&gt;0,$AI$2,
 IF(COUNTIF($AJ$3:$AJ$20,C82)&gt;0,$AJ$2,
 IF(COUNTIF($AK$3:$AK$20,C82)&gt;0,$AK$2,
 IF(COUNTIF($AL$3:$AL$20,C82)&gt;0,$AL$2,
 IF(COUNTIF($AM$3:$AM$20,C82)&gt;0,$AM$2,"Not Found")))))))</f>
        <v>Not Found</v>
      </c>
      <c r="E82" s="2" t="s">
        <v>10</v>
      </c>
      <c r="F82" s="2" t="s">
        <v>11</v>
      </c>
      <c r="G82" s="2">
        <v>128</v>
      </c>
      <c r="H82" s="2">
        <v>1501</v>
      </c>
      <c r="I82" s="2">
        <v>160</v>
      </c>
      <c r="J82" s="2">
        <v>-496</v>
      </c>
      <c r="K82" s="4">
        <v>0.81299999999999994</v>
      </c>
      <c r="L82" s="4">
        <v>0.41299999999999998</v>
      </c>
      <c r="M82" s="2">
        <v>114.9</v>
      </c>
      <c r="N82" s="2">
        <v>102.3</v>
      </c>
      <c r="O82" s="2">
        <v>98.8</v>
      </c>
      <c r="P82" s="2">
        <v>106.6</v>
      </c>
      <c r="Q82" s="4">
        <v>0.60499999999999998</v>
      </c>
      <c r="R82" s="4">
        <v>0.55200000000000005</v>
      </c>
      <c r="S82" s="4">
        <v>0.52400000000000002</v>
      </c>
      <c r="T82" s="4">
        <v>0.55600000000000005</v>
      </c>
      <c r="U82" s="19">
        <f>Table2[[#This Row],[NET PF]]/Table2[[#This Row],[HOME GAMES]]</f>
        <v>-0.703125</v>
      </c>
      <c r="V82" s="28">
        <f>393/Table2[[#This Row],[AWAY GAMES]]</f>
        <v>2.4562499999999998</v>
      </c>
      <c r="W82" s="4">
        <v>0.72499999999999998</v>
      </c>
      <c r="X82" s="4">
        <v>0.72499999999999998</v>
      </c>
      <c r="Y82" s="2">
        <v>-90</v>
      </c>
      <c r="Z82" s="2">
        <v>217</v>
      </c>
      <c r="AA82" s="8">
        <f>Table2[[#This Row],[HOME MARGIN]]/Table2[[#This Row],[HOME GAMES]]</f>
        <v>11.7265625</v>
      </c>
      <c r="AB82" s="8">
        <f>Table2[[#This Row],[AWAY MARGIN]]/Table2[[#This Row],[AWAY GAMES]]</f>
        <v>-3.1</v>
      </c>
      <c r="AC82" s="8">
        <f>Table2[[#This Row],[HOME MARGIN/GAME]]-Table2[[#This Row],[AWAY MARGIN/GAME]]</f>
        <v>14.8265625</v>
      </c>
      <c r="AD82" s="23">
        <f>Table2[[#This Row],[HOME W/L%]]-Table2[[#This Row],[AWAY W/L%]]</f>
        <v>0.39999999999999997</v>
      </c>
      <c r="AE82" s="22"/>
      <c r="AF82"/>
    </row>
    <row r="83" spans="1:32" hidden="1" x14ac:dyDescent="0.2">
      <c r="A83" s="1">
        <v>300</v>
      </c>
      <c r="B83" s="1"/>
      <c r="C83" s="2" t="s">
        <v>326</v>
      </c>
      <c r="D83" s="2" t="str">
        <f>IF(COUNTIF($AG$3:$AG$20,C83)&gt;0,$AG$2,
 IF(COUNTIF($AH$3:$AH$20,C83)&gt;0,$AH$2,
 IF(COUNTIF($AI$3:$AI$20,C83)&gt;0,$AI$2,
 IF(COUNTIF($AJ$3:$AJ$20,C83)&gt;0,$AJ$2,
 IF(COUNTIF($AK$3:$AK$20,C83)&gt;0,$AK$2,
 IF(COUNTIF($AL$3:$AL$20,C83)&gt;0,$AL$2,
 IF(COUNTIF($AM$3:$AM$20,C83)&gt;0,$AM$2,"Not Found")))))))</f>
        <v>Not Found</v>
      </c>
      <c r="E83" s="2" t="s">
        <v>10</v>
      </c>
      <c r="F83" s="2" t="s">
        <v>11</v>
      </c>
      <c r="G83" s="2">
        <v>137</v>
      </c>
      <c r="H83" s="2">
        <v>489</v>
      </c>
      <c r="I83" s="2">
        <v>141</v>
      </c>
      <c r="J83" s="2">
        <v>-932</v>
      </c>
      <c r="K83" s="4">
        <v>0.53300000000000003</v>
      </c>
      <c r="L83" s="4">
        <v>0.31900000000000001</v>
      </c>
      <c r="M83" s="2">
        <v>107</v>
      </c>
      <c r="N83" s="2">
        <v>97.5</v>
      </c>
      <c r="O83" s="2">
        <v>101.9</v>
      </c>
      <c r="P83" s="2">
        <v>107.1</v>
      </c>
      <c r="Q83" s="4">
        <v>0.56399999999999995</v>
      </c>
      <c r="R83" s="4">
        <v>0.52200000000000002</v>
      </c>
      <c r="S83" s="4">
        <v>0.52800000000000002</v>
      </c>
      <c r="T83" s="4">
        <v>0.54400000000000004</v>
      </c>
      <c r="U83" s="19">
        <f>Table2[[#This Row],[NET PF]]/Table2[[#This Row],[HOME GAMES]]</f>
        <v>-1.2627737226277371</v>
      </c>
      <c r="V83" s="28">
        <f>393/Table2[[#This Row],[AWAY GAMES]]</f>
        <v>2.7872340425531914</v>
      </c>
      <c r="W83" s="4">
        <v>0.72099999999999997</v>
      </c>
      <c r="X83" s="4">
        <v>0.70299999999999996</v>
      </c>
      <c r="Y83" s="2">
        <v>-173</v>
      </c>
      <c r="Z83" s="2">
        <v>176</v>
      </c>
      <c r="AA83" s="8">
        <f>Table2[[#This Row],[HOME MARGIN]]/Table2[[#This Row],[HOME GAMES]]</f>
        <v>3.5693430656934306</v>
      </c>
      <c r="AB83" s="8">
        <f>Table2[[#This Row],[AWAY MARGIN]]/Table2[[#This Row],[AWAY GAMES]]</f>
        <v>-6.6099290780141846</v>
      </c>
      <c r="AC83" s="8">
        <f>Table2[[#This Row],[HOME MARGIN/GAME]]-Table2[[#This Row],[AWAY MARGIN/GAME]]</f>
        <v>10.179272143707616</v>
      </c>
      <c r="AD83" s="23">
        <f>Table2[[#This Row],[HOME W/L%]]-Table2[[#This Row],[AWAY W/L%]]</f>
        <v>0.21400000000000002</v>
      </c>
      <c r="AE83" s="22"/>
      <c r="AF83"/>
    </row>
    <row r="84" spans="1:32" hidden="1" x14ac:dyDescent="0.2">
      <c r="A84" s="1">
        <v>282</v>
      </c>
      <c r="B84" s="1"/>
      <c r="C84" s="2" t="s">
        <v>253</v>
      </c>
      <c r="D84" s="2" t="str">
        <f>IF(COUNTIF($AG$3:$AG$20,C84)&gt;0,$AG$2,
 IF(COUNTIF($AH$3:$AH$20,C84)&gt;0,$AH$2,
 IF(COUNTIF($AI$3:$AI$20,C84)&gt;0,$AI$2,
 IF(COUNTIF($AJ$3:$AJ$20,C84)&gt;0,$AJ$2,
 IF(COUNTIF($AK$3:$AK$20,C84)&gt;0,$AK$2,
 IF(COUNTIF($AL$3:$AL$20,C84)&gt;0,$AL$2,
 IF(COUNTIF($AM$3:$AM$20,C84)&gt;0,$AM$2,"Not Found")))))))</f>
        <v>Not Found</v>
      </c>
      <c r="E84" s="2" t="s">
        <v>10</v>
      </c>
      <c r="F84" s="2" t="s">
        <v>11</v>
      </c>
      <c r="G84" s="2">
        <v>151</v>
      </c>
      <c r="H84" s="2">
        <v>564</v>
      </c>
      <c r="I84" s="2">
        <v>132</v>
      </c>
      <c r="J84" s="2">
        <v>-1470</v>
      </c>
      <c r="K84" s="4">
        <v>0.57599999999999996</v>
      </c>
      <c r="L84" s="4">
        <v>0.22</v>
      </c>
      <c r="M84" s="2">
        <v>102.2</v>
      </c>
      <c r="N84" s="2">
        <v>92.7</v>
      </c>
      <c r="O84" s="2">
        <v>96.8</v>
      </c>
      <c r="P84" s="2">
        <v>108.9</v>
      </c>
      <c r="Q84" s="4">
        <v>0.55700000000000005</v>
      </c>
      <c r="R84" s="4">
        <v>0.50800000000000001</v>
      </c>
      <c r="S84" s="4">
        <v>0.53</v>
      </c>
      <c r="T84" s="4">
        <v>0.56799999999999995</v>
      </c>
      <c r="U84" s="19">
        <f>Table2[[#This Row],[NET PF]]/Table2[[#This Row],[HOME GAMES]]</f>
        <v>-3.423841059602649</v>
      </c>
      <c r="V84" s="28">
        <f>393/Table2[[#This Row],[AWAY GAMES]]</f>
        <v>2.9772727272727271</v>
      </c>
      <c r="W84" s="4">
        <v>0.73</v>
      </c>
      <c r="X84" s="4">
        <v>0.71699999999999997</v>
      </c>
      <c r="Y84" s="2">
        <v>-517</v>
      </c>
      <c r="Z84" s="2">
        <v>226</v>
      </c>
      <c r="AA84" s="8">
        <f>Table2[[#This Row],[HOME MARGIN]]/Table2[[#This Row],[HOME GAMES]]</f>
        <v>3.7350993377483444</v>
      </c>
      <c r="AB84" s="8">
        <f>Table2[[#This Row],[AWAY MARGIN]]/Table2[[#This Row],[AWAY GAMES]]</f>
        <v>-11.136363636363637</v>
      </c>
      <c r="AC84" s="8">
        <f>Table2[[#This Row],[HOME MARGIN/GAME]]-Table2[[#This Row],[AWAY MARGIN/GAME]]</f>
        <v>14.871462974111981</v>
      </c>
      <c r="AD84" s="23">
        <f>Table2[[#This Row],[HOME W/L%]]-Table2[[#This Row],[AWAY W/L%]]</f>
        <v>0.35599999999999998</v>
      </c>
      <c r="AE84" s="22"/>
      <c r="AF84"/>
    </row>
    <row r="85" spans="1:32" hidden="1" x14ac:dyDescent="0.2">
      <c r="A85" s="1">
        <v>318</v>
      </c>
      <c r="B85" s="1"/>
      <c r="C85" s="2" t="s">
        <v>378</v>
      </c>
      <c r="D85" s="2" t="str">
        <f>IF(COUNTIF($AG$3:$AG$20,C85)&gt;0,$AG$2,
 IF(COUNTIF($AH$3:$AH$20,C85)&gt;0,$AH$2,
 IF(COUNTIF($AI$3:$AI$20,C85)&gt;0,$AI$2,
 IF(COUNTIF($AJ$3:$AJ$20,C85)&gt;0,$AJ$2,
 IF(COUNTIF($AK$3:$AK$20,C85)&gt;0,$AK$2,
 IF(COUNTIF($AL$3:$AL$20,C85)&gt;0,$AL$2,
 IF(COUNTIF($AM$3:$AM$20,C85)&gt;0,$AM$2,"Not Found")))))))</f>
        <v>Not Found</v>
      </c>
      <c r="E85" s="2" t="s">
        <v>10</v>
      </c>
      <c r="F85" s="2" t="s">
        <v>11</v>
      </c>
      <c r="G85" s="2">
        <v>134</v>
      </c>
      <c r="H85" s="2">
        <v>333</v>
      </c>
      <c r="I85" s="2">
        <v>145</v>
      </c>
      <c r="J85" s="2">
        <v>-689</v>
      </c>
      <c r="K85" s="4">
        <v>0.54500000000000004</v>
      </c>
      <c r="L85" s="4">
        <v>0.379</v>
      </c>
      <c r="M85" s="2">
        <v>102.7</v>
      </c>
      <c r="N85" s="2">
        <v>96.5</v>
      </c>
      <c r="O85" s="2">
        <v>99.1</v>
      </c>
      <c r="P85" s="2">
        <v>103.2</v>
      </c>
      <c r="Q85" s="4">
        <v>0.53600000000000003</v>
      </c>
      <c r="R85" s="4">
        <v>0.51500000000000001</v>
      </c>
      <c r="S85" s="4">
        <v>0.52900000000000003</v>
      </c>
      <c r="T85" s="4">
        <v>0.53900000000000003</v>
      </c>
      <c r="U85" s="19">
        <f>Table2[[#This Row],[NET PF]]/Table2[[#This Row],[HOME GAMES]]</f>
        <v>-0.72388059701492535</v>
      </c>
      <c r="V85" s="28">
        <f>393/Table2[[#This Row],[AWAY GAMES]]</f>
        <v>2.7103448275862068</v>
      </c>
      <c r="W85" s="4">
        <v>0.70499999999999996</v>
      </c>
      <c r="X85" s="4">
        <v>0.69599999999999995</v>
      </c>
      <c r="Y85" s="2">
        <v>-97</v>
      </c>
      <c r="Z85" s="2">
        <v>117</v>
      </c>
      <c r="AA85" s="8">
        <f>Table2[[#This Row],[HOME MARGIN]]/Table2[[#This Row],[HOME GAMES]]</f>
        <v>2.4850746268656718</v>
      </c>
      <c r="AB85" s="8">
        <f>Table2[[#This Row],[AWAY MARGIN]]/Table2[[#This Row],[AWAY GAMES]]</f>
        <v>-4.7517241379310349</v>
      </c>
      <c r="AC85" s="8">
        <f>Table2[[#This Row],[HOME MARGIN/GAME]]-Table2[[#This Row],[AWAY MARGIN/GAME]]</f>
        <v>7.2367987647967063</v>
      </c>
      <c r="AD85" s="23">
        <f>Table2[[#This Row],[HOME W/L%]]-Table2[[#This Row],[AWAY W/L%]]</f>
        <v>0.16600000000000004</v>
      </c>
      <c r="AE85" s="22"/>
      <c r="AF85"/>
    </row>
    <row r="86" spans="1:32" hidden="1" x14ac:dyDescent="0.2">
      <c r="A86" s="1">
        <v>261</v>
      </c>
      <c r="B86" s="1"/>
      <c r="C86" s="2" t="s">
        <v>286</v>
      </c>
      <c r="D86" s="2" t="str">
        <f>IF(COUNTIF($AG$3:$AG$20,C86)&gt;0,$AG$2,
 IF(COUNTIF($AH$3:$AH$20,C86)&gt;0,$AH$2,
 IF(COUNTIF($AI$3:$AI$20,C86)&gt;0,$AI$2,
 IF(COUNTIF($AJ$3:$AJ$20,C86)&gt;0,$AJ$2,
 IF(COUNTIF($AK$3:$AK$20,C86)&gt;0,$AK$2,
 IF(COUNTIF($AL$3:$AL$20,C86)&gt;0,$AL$2,
 IF(COUNTIF($AM$3:$AM$20,C86)&gt;0,$AM$2,"Not Found")))))))</f>
        <v>Not Found</v>
      </c>
      <c r="E86" s="2" t="s">
        <v>10</v>
      </c>
      <c r="F86" s="2" t="s">
        <v>11</v>
      </c>
      <c r="G86" s="2">
        <v>122</v>
      </c>
      <c r="H86" s="2">
        <v>686</v>
      </c>
      <c r="I86" s="2">
        <v>161</v>
      </c>
      <c r="J86" s="2">
        <v>-1150</v>
      </c>
      <c r="K86" s="4">
        <v>0.57399999999999995</v>
      </c>
      <c r="L86" s="4">
        <v>0.317</v>
      </c>
      <c r="M86" s="2">
        <v>109.9</v>
      </c>
      <c r="N86" s="2">
        <v>96.7</v>
      </c>
      <c r="O86" s="2">
        <v>102.2</v>
      </c>
      <c r="P86" s="2">
        <v>106.5</v>
      </c>
      <c r="Q86" s="4">
        <v>0.57499999999999996</v>
      </c>
      <c r="R86" s="4">
        <v>0.51300000000000001</v>
      </c>
      <c r="S86" s="4">
        <v>0.54500000000000004</v>
      </c>
      <c r="T86" s="4">
        <v>0.55800000000000005</v>
      </c>
      <c r="U86" s="19">
        <f>Table2[[#This Row],[NET PF]]/Table2[[#This Row],[HOME GAMES]]</f>
        <v>0.38524590163934425</v>
      </c>
      <c r="V86" s="28">
        <f>393/Table2[[#This Row],[AWAY GAMES]]</f>
        <v>2.4409937888198758</v>
      </c>
      <c r="W86" s="4">
        <v>0.71499999999999997</v>
      </c>
      <c r="X86" s="4">
        <v>0.71</v>
      </c>
      <c r="Y86" s="2">
        <v>47</v>
      </c>
      <c r="Z86" s="2">
        <v>236</v>
      </c>
      <c r="AA86" s="8">
        <f>Table2[[#This Row],[HOME MARGIN]]/Table2[[#This Row],[HOME GAMES]]</f>
        <v>5.6229508196721314</v>
      </c>
      <c r="AB86" s="8">
        <f>Table2[[#This Row],[AWAY MARGIN]]/Table2[[#This Row],[AWAY GAMES]]</f>
        <v>-7.1428571428571432</v>
      </c>
      <c r="AC86" s="8">
        <f>Table2[[#This Row],[HOME MARGIN/GAME]]-Table2[[#This Row],[AWAY MARGIN/GAME]]</f>
        <v>12.765807962529275</v>
      </c>
      <c r="AD86" s="23">
        <f>Table2[[#This Row],[HOME W/L%]]-Table2[[#This Row],[AWAY W/L%]]</f>
        <v>0.25699999999999995</v>
      </c>
      <c r="AE86" s="22"/>
      <c r="AF86"/>
    </row>
    <row r="87" spans="1:32" x14ac:dyDescent="0.2">
      <c r="A87" s="1">
        <v>72</v>
      </c>
      <c r="B87" s="1">
        <v>25</v>
      </c>
      <c r="C87" s="2" t="s">
        <v>47</v>
      </c>
      <c r="D87" s="2" t="str">
        <f>IF(COUNTIF($AG$3:$AG$20,C87)&gt;0,$AG$2,
 IF(COUNTIF($AH$3:$AH$20,C87)&gt;0,$AH$2,
 IF(COUNTIF($AI$3:$AI$20,C87)&gt;0,$AI$2,
 IF(COUNTIF($AJ$3:$AJ$20,C87)&gt;0,$AJ$2,
 IF(COUNTIF($AK$3:$AK$20,C87)&gt;0,$AK$2,
 IF(COUNTIF($AL$3:$AL$20,C87)&gt;0,$AL$2,
 IF(COUNTIF($AM$3:$AM$20,C87)&gt;0,$AM$2,"Not Found")))))))</f>
        <v>SEC</v>
      </c>
      <c r="E87" s="2" t="s">
        <v>10</v>
      </c>
      <c r="F87" s="2" t="s">
        <v>11</v>
      </c>
      <c r="G87" s="2">
        <v>145</v>
      </c>
      <c r="H87" s="2">
        <v>1734</v>
      </c>
      <c r="I87" s="2">
        <v>106</v>
      </c>
      <c r="J87" s="2">
        <v>30</v>
      </c>
      <c r="K87" s="4">
        <v>0.75900000000000001</v>
      </c>
      <c r="L87" s="4">
        <v>0.46200000000000002</v>
      </c>
      <c r="M87" s="2">
        <v>110.6</v>
      </c>
      <c r="N87" s="2">
        <v>102.3</v>
      </c>
      <c r="O87" s="2">
        <v>93.7</v>
      </c>
      <c r="P87" s="2">
        <v>101.9</v>
      </c>
      <c r="Q87" s="4">
        <v>0.56100000000000005</v>
      </c>
      <c r="R87" s="4">
        <v>0.52700000000000002</v>
      </c>
      <c r="S87" s="4">
        <v>0.497</v>
      </c>
      <c r="T87" s="4">
        <v>0.52500000000000002</v>
      </c>
      <c r="U87" s="19">
        <f>Table2[[#This Row],[NET PF]]/Table2[[#This Row],[HOME GAMES]]</f>
        <v>-2.2620689655172415</v>
      </c>
      <c r="V87" s="28">
        <f>393/Table2[[#This Row],[AWAY GAMES]]</f>
        <v>3.7075471698113209</v>
      </c>
      <c r="W87" s="4">
        <v>0.70299999999999996</v>
      </c>
      <c r="X87" s="4">
        <v>0.71699999999999997</v>
      </c>
      <c r="Y87" s="2">
        <v>-328</v>
      </c>
      <c r="Z87" s="2">
        <v>119</v>
      </c>
      <c r="AA87" s="8">
        <f>Table2[[#This Row],[HOME MARGIN]]/Table2[[#This Row],[HOME GAMES]]</f>
        <v>11.958620689655172</v>
      </c>
      <c r="AB87" s="8">
        <f>Table2[[#This Row],[AWAY MARGIN]]/Table2[[#This Row],[AWAY GAMES]]</f>
        <v>0.28301886792452829</v>
      </c>
      <c r="AC87" s="8">
        <f>Table2[[#This Row],[HOME MARGIN/GAME]]-Table2[[#This Row],[AWAY MARGIN/GAME]]</f>
        <v>11.675601821730643</v>
      </c>
      <c r="AD87" s="23">
        <f>Table2[[#This Row],[HOME W/L%]]-Table2[[#This Row],[AWAY W/L%]]</f>
        <v>0.29699999999999999</v>
      </c>
      <c r="AE87" s="22"/>
      <c r="AF87"/>
    </row>
    <row r="88" spans="1:32" hidden="1" x14ac:dyDescent="0.2">
      <c r="A88" s="1">
        <v>323</v>
      </c>
      <c r="B88" s="1"/>
      <c r="C88" s="2" t="s">
        <v>225</v>
      </c>
      <c r="D88" s="2" t="str">
        <f>IF(COUNTIF($AG$3:$AG$20,C88)&gt;0,$AG$2,
 IF(COUNTIF($AH$3:$AH$20,C88)&gt;0,$AH$2,
 IF(COUNTIF($AI$3:$AI$20,C88)&gt;0,$AI$2,
 IF(COUNTIF($AJ$3:$AJ$20,C88)&gt;0,$AJ$2,
 IF(COUNTIF($AK$3:$AK$20,C88)&gt;0,$AK$2,
 IF(COUNTIF($AL$3:$AL$20,C88)&gt;0,$AL$2,
 IF(COUNTIF($AM$3:$AM$20,C88)&gt;0,$AM$2,"Not Found")))))))</f>
        <v>Not Found</v>
      </c>
      <c r="E88" s="2" t="s">
        <v>10</v>
      </c>
      <c r="F88" s="2" t="s">
        <v>11</v>
      </c>
      <c r="G88" s="2">
        <v>105</v>
      </c>
      <c r="H88" s="2">
        <v>305</v>
      </c>
      <c r="I88" s="2">
        <v>170</v>
      </c>
      <c r="J88" s="2">
        <v>-2189</v>
      </c>
      <c r="K88" s="4">
        <v>0.56200000000000006</v>
      </c>
      <c r="L88" s="4">
        <v>0.2</v>
      </c>
      <c r="M88" s="2">
        <v>100.2</v>
      </c>
      <c r="N88" s="2">
        <v>88.3</v>
      </c>
      <c r="O88" s="2">
        <v>96.1</v>
      </c>
      <c r="P88" s="2">
        <v>106.5</v>
      </c>
      <c r="Q88" s="4">
        <v>0.53200000000000003</v>
      </c>
      <c r="R88" s="4">
        <v>0.49</v>
      </c>
      <c r="S88" s="4">
        <v>0.50800000000000001</v>
      </c>
      <c r="T88" s="4">
        <v>0.55400000000000005</v>
      </c>
      <c r="U88" s="19">
        <f>Table2[[#This Row],[NET PF]]/Table2[[#This Row],[HOME GAMES]]</f>
        <v>-0.75238095238095237</v>
      </c>
      <c r="V88" s="28">
        <f>393/Table2[[#This Row],[AWAY GAMES]]</f>
        <v>2.3117647058823527</v>
      </c>
      <c r="W88" s="4">
        <v>0.65700000000000003</v>
      </c>
      <c r="X88" s="4">
        <v>0.69599999999999995</v>
      </c>
      <c r="Y88" s="2">
        <v>-79</v>
      </c>
      <c r="Z88" s="2">
        <v>343</v>
      </c>
      <c r="AA88" s="8">
        <f>Table2[[#This Row],[HOME MARGIN]]/Table2[[#This Row],[HOME GAMES]]</f>
        <v>2.9047619047619047</v>
      </c>
      <c r="AB88" s="8">
        <f>Table2[[#This Row],[AWAY MARGIN]]/Table2[[#This Row],[AWAY GAMES]]</f>
        <v>-12.876470588235295</v>
      </c>
      <c r="AC88" s="8">
        <f>Table2[[#This Row],[HOME MARGIN/GAME]]-Table2[[#This Row],[AWAY MARGIN/GAME]]</f>
        <v>15.7812324929972</v>
      </c>
      <c r="AD88" s="23">
        <f>Table2[[#This Row],[HOME W/L%]]-Table2[[#This Row],[AWAY W/L%]]</f>
        <v>0.36200000000000004</v>
      </c>
      <c r="AE88" s="22"/>
      <c r="AF88"/>
    </row>
    <row r="89" spans="1:32" hidden="1" x14ac:dyDescent="0.2">
      <c r="A89" s="1">
        <v>109</v>
      </c>
      <c r="B89" s="1"/>
      <c r="C89" s="2" t="s">
        <v>166</v>
      </c>
      <c r="D89" s="2" t="str">
        <f>IF(COUNTIF($AG$3:$AG$20,C89)&gt;0,$AG$2,
 IF(COUNTIF($AH$3:$AH$20,C89)&gt;0,$AH$2,
 IF(COUNTIF($AI$3:$AI$20,C89)&gt;0,$AI$2,
 IF(COUNTIF($AJ$3:$AJ$20,C89)&gt;0,$AJ$2,
 IF(COUNTIF($AK$3:$AK$20,C89)&gt;0,$AK$2,
 IF(COUNTIF($AL$3:$AL$20,C89)&gt;0,$AL$2,
 IF(COUNTIF($AM$3:$AM$20,C89)&gt;0,$AM$2,"Not Found")))))))</f>
        <v>Not Found</v>
      </c>
      <c r="E89" s="2" t="s">
        <v>10</v>
      </c>
      <c r="F89" s="2" t="s">
        <v>11</v>
      </c>
      <c r="G89" s="2">
        <v>142</v>
      </c>
      <c r="H89" s="2">
        <v>1456</v>
      </c>
      <c r="I89" s="2">
        <v>131</v>
      </c>
      <c r="J89" s="2">
        <v>-492</v>
      </c>
      <c r="K89" s="4">
        <v>0.69699999999999995</v>
      </c>
      <c r="L89" s="4">
        <v>0.374</v>
      </c>
      <c r="M89" s="2">
        <v>108.4</v>
      </c>
      <c r="N89" s="2">
        <v>98.9</v>
      </c>
      <c r="O89" s="2">
        <v>94</v>
      </c>
      <c r="P89" s="2">
        <v>104.2</v>
      </c>
      <c r="Q89" s="4">
        <v>0.55800000000000005</v>
      </c>
      <c r="R89" s="4">
        <v>0.51700000000000002</v>
      </c>
      <c r="S89" s="4">
        <v>0.51100000000000001</v>
      </c>
      <c r="T89" s="4">
        <v>0.54</v>
      </c>
      <c r="U89" s="19">
        <f>Table2[[#This Row],[NET PF]]/Table2[[#This Row],[HOME GAMES]]</f>
        <v>-0.15492957746478872</v>
      </c>
      <c r="V89" s="28">
        <f>393/Table2[[#This Row],[AWAY GAMES]]</f>
        <v>3</v>
      </c>
      <c r="W89" s="4">
        <v>0.68799999999999994</v>
      </c>
      <c r="X89" s="4">
        <v>0.72799999999999998</v>
      </c>
      <c r="Y89" s="2">
        <v>-22</v>
      </c>
      <c r="Z89" s="2">
        <v>201</v>
      </c>
      <c r="AA89" s="8">
        <f>Table2[[#This Row],[HOME MARGIN]]/Table2[[#This Row],[HOME GAMES]]</f>
        <v>10.253521126760564</v>
      </c>
      <c r="AB89" s="8">
        <f>Table2[[#This Row],[AWAY MARGIN]]/Table2[[#This Row],[AWAY GAMES]]</f>
        <v>-3.7557251908396947</v>
      </c>
      <c r="AC89" s="8">
        <f>Table2[[#This Row],[HOME MARGIN/GAME]]-Table2[[#This Row],[AWAY MARGIN/GAME]]</f>
        <v>14.009246317600258</v>
      </c>
      <c r="AD89" s="23">
        <f>Table2[[#This Row],[HOME W/L%]]-Table2[[#This Row],[AWAY W/L%]]</f>
        <v>0.32299999999999995</v>
      </c>
      <c r="AE89" s="22"/>
      <c r="AF89"/>
    </row>
    <row r="90" spans="1:32" hidden="1" x14ac:dyDescent="0.2">
      <c r="A90" s="1">
        <v>141</v>
      </c>
      <c r="B90" s="1"/>
      <c r="C90" s="2" t="s">
        <v>123</v>
      </c>
      <c r="D90" s="2" t="str">
        <f>IF(COUNTIF($AG$3:$AG$20,C90)&gt;0,$AG$2,
 IF(COUNTIF($AH$3:$AH$20,C90)&gt;0,$AH$2,
 IF(COUNTIF($AI$3:$AI$20,C90)&gt;0,$AI$2,
 IF(COUNTIF($AJ$3:$AJ$20,C90)&gt;0,$AJ$2,
 IF(COUNTIF($AK$3:$AK$20,C90)&gt;0,$AK$2,
 IF(COUNTIF($AL$3:$AL$20,C90)&gt;0,$AL$2,
 IF(COUNTIF($AM$3:$AM$20,C90)&gt;0,$AM$2,"Not Found")))))))</f>
        <v>Not Found</v>
      </c>
      <c r="E90" s="2" t="s">
        <v>10</v>
      </c>
      <c r="F90" s="2" t="s">
        <v>11</v>
      </c>
      <c r="G90" s="2">
        <v>150</v>
      </c>
      <c r="H90" s="2">
        <v>1317</v>
      </c>
      <c r="I90" s="2">
        <v>129</v>
      </c>
      <c r="J90" s="2">
        <v>-347</v>
      </c>
      <c r="K90" s="4">
        <v>0.69299999999999995</v>
      </c>
      <c r="L90" s="4">
        <v>0.42599999999999999</v>
      </c>
      <c r="M90" s="2">
        <v>106.5</v>
      </c>
      <c r="N90" s="2">
        <v>101.9</v>
      </c>
      <c r="O90" s="2">
        <v>94.1</v>
      </c>
      <c r="P90" s="2">
        <v>105.7</v>
      </c>
      <c r="Q90" s="4">
        <v>0.55700000000000005</v>
      </c>
      <c r="R90" s="4">
        <v>0.54600000000000004</v>
      </c>
      <c r="S90" s="4">
        <v>0.502</v>
      </c>
      <c r="T90" s="4">
        <v>0.54400000000000004</v>
      </c>
      <c r="U90" s="19">
        <f>Table2[[#This Row],[NET PF]]/Table2[[#This Row],[HOME GAMES]]</f>
        <v>-0.99333333333333329</v>
      </c>
      <c r="V90" s="28">
        <f>393/Table2[[#This Row],[AWAY GAMES]]</f>
        <v>3.0465116279069768</v>
      </c>
      <c r="W90" s="4">
        <v>0.67900000000000005</v>
      </c>
      <c r="X90" s="4">
        <v>0.69699999999999995</v>
      </c>
      <c r="Y90" s="2">
        <v>-149</v>
      </c>
      <c r="Z90" s="2">
        <v>189</v>
      </c>
      <c r="AA90" s="8">
        <f>Table2[[#This Row],[HOME MARGIN]]/Table2[[#This Row],[HOME GAMES]]</f>
        <v>8.7799999999999994</v>
      </c>
      <c r="AB90" s="8">
        <f>Table2[[#This Row],[AWAY MARGIN]]/Table2[[#This Row],[AWAY GAMES]]</f>
        <v>-2.6899224806201549</v>
      </c>
      <c r="AC90" s="8">
        <f>Table2[[#This Row],[HOME MARGIN/GAME]]-Table2[[#This Row],[AWAY MARGIN/GAME]]</f>
        <v>11.469922480620154</v>
      </c>
      <c r="AD90" s="23">
        <f>Table2[[#This Row],[HOME W/L%]]-Table2[[#This Row],[AWAY W/L%]]</f>
        <v>0.26699999999999996</v>
      </c>
      <c r="AE90" s="22"/>
      <c r="AF90"/>
    </row>
    <row r="91" spans="1:32" hidden="1" x14ac:dyDescent="0.2">
      <c r="A91" s="1">
        <v>237</v>
      </c>
      <c r="B91" s="1"/>
      <c r="C91" s="2" t="s">
        <v>323</v>
      </c>
      <c r="D91" s="2" t="str">
        <f>IF(COUNTIF($AG$3:$AG$20,C91)&gt;0,$AG$2,
 IF(COUNTIF($AH$3:$AH$20,C91)&gt;0,$AH$2,
 IF(COUNTIF($AI$3:$AI$20,C91)&gt;0,$AI$2,
 IF(COUNTIF($AJ$3:$AJ$20,C91)&gt;0,$AJ$2,
 IF(COUNTIF($AK$3:$AK$20,C91)&gt;0,$AK$2,
 IF(COUNTIF($AL$3:$AL$20,C91)&gt;0,$AL$2,
 IF(COUNTIF($AM$3:$AM$20,C91)&gt;0,$AM$2,"Not Found")))))))</f>
        <v>Not Found</v>
      </c>
      <c r="E91" s="2" t="s">
        <v>10</v>
      </c>
      <c r="F91" s="2" t="s">
        <v>11</v>
      </c>
      <c r="G91" s="2">
        <v>158</v>
      </c>
      <c r="H91" s="2">
        <v>776</v>
      </c>
      <c r="I91" s="2">
        <v>130</v>
      </c>
      <c r="J91" s="2">
        <v>-950</v>
      </c>
      <c r="K91" s="4">
        <v>0.58199999999999996</v>
      </c>
      <c r="L91" s="4">
        <v>0.215</v>
      </c>
      <c r="M91" s="2">
        <v>104.6</v>
      </c>
      <c r="N91" s="2">
        <v>94.8</v>
      </c>
      <c r="O91" s="2">
        <v>97.9</v>
      </c>
      <c r="P91" s="2">
        <v>104.9</v>
      </c>
      <c r="Q91" s="4">
        <v>0.55600000000000005</v>
      </c>
      <c r="R91" s="4">
        <v>0.504</v>
      </c>
      <c r="S91" s="4">
        <v>0.53</v>
      </c>
      <c r="T91" s="4">
        <v>0.55700000000000005</v>
      </c>
      <c r="U91" s="19">
        <f>Table2[[#This Row],[NET PF]]/Table2[[#This Row],[HOME GAMES]]</f>
        <v>-0.310126582278481</v>
      </c>
      <c r="V91" s="28">
        <f>393/Table2[[#This Row],[AWAY GAMES]]</f>
        <v>3.023076923076923</v>
      </c>
      <c r="W91" s="4">
        <v>0.70099999999999996</v>
      </c>
      <c r="X91" s="4">
        <v>0.72099999999999997</v>
      </c>
      <c r="Y91" s="2">
        <v>-49</v>
      </c>
      <c r="Z91" s="2">
        <v>321</v>
      </c>
      <c r="AA91" s="8">
        <f>Table2[[#This Row],[HOME MARGIN]]/Table2[[#This Row],[HOME GAMES]]</f>
        <v>4.9113924050632916</v>
      </c>
      <c r="AB91" s="8">
        <f>Table2[[#This Row],[AWAY MARGIN]]/Table2[[#This Row],[AWAY GAMES]]</f>
        <v>-7.3076923076923075</v>
      </c>
      <c r="AC91" s="8">
        <f>Table2[[#This Row],[HOME MARGIN/GAME]]-Table2[[#This Row],[AWAY MARGIN/GAME]]</f>
        <v>12.219084712755599</v>
      </c>
      <c r="AD91" s="23">
        <f>Table2[[#This Row],[HOME W/L%]]-Table2[[#This Row],[AWAY W/L%]]</f>
        <v>0.36699999999999999</v>
      </c>
      <c r="AE91" s="22"/>
      <c r="AF91"/>
    </row>
    <row r="92" spans="1:32" x14ac:dyDescent="0.2">
      <c r="A92" s="1">
        <v>94</v>
      </c>
      <c r="B92" s="1">
        <v>43</v>
      </c>
      <c r="C92" s="2" t="s">
        <v>157</v>
      </c>
      <c r="D92" s="2" t="str">
        <f>IF(COUNTIF($AG$3:$AG$20,C92)&gt;0,$AG$2,
 IF(COUNTIF($AH$3:$AH$20,C92)&gt;0,$AH$2,
 IF(COUNTIF($AI$3:$AI$20,C92)&gt;0,$AI$2,
 IF(COUNTIF($AJ$3:$AJ$20,C92)&gt;0,$AJ$2,
 IF(COUNTIF($AK$3:$AK$20,C92)&gt;0,$AK$2,
 IF(COUNTIF($AL$3:$AL$20,C92)&gt;0,$AL$2,
 IF(COUNTIF($AM$3:$AM$20,C92)&gt;0,$AM$2,"Not Found")))))))</f>
        <v>ACC</v>
      </c>
      <c r="E92" s="2" t="s">
        <v>10</v>
      </c>
      <c r="F92" s="2" t="s">
        <v>11</v>
      </c>
      <c r="G92" s="2">
        <v>156</v>
      </c>
      <c r="H92" s="2">
        <v>1574</v>
      </c>
      <c r="I92" s="2">
        <v>105</v>
      </c>
      <c r="J92" s="2">
        <v>-453</v>
      </c>
      <c r="K92" s="4">
        <v>0.77600000000000002</v>
      </c>
      <c r="L92" s="4">
        <v>0.39</v>
      </c>
      <c r="M92" s="2">
        <v>110</v>
      </c>
      <c r="N92" s="2">
        <v>100.3</v>
      </c>
      <c r="O92" s="2">
        <v>96.2</v>
      </c>
      <c r="P92" s="2">
        <v>106.4</v>
      </c>
      <c r="Q92" s="4">
        <v>0.57099999999999995</v>
      </c>
      <c r="R92" s="4">
        <v>0.51900000000000002</v>
      </c>
      <c r="S92" s="4">
        <v>0.52400000000000002</v>
      </c>
      <c r="T92" s="4">
        <v>0.55300000000000005</v>
      </c>
      <c r="U92" s="19">
        <f>Table2[[#This Row],[NET PF]]/Table2[[#This Row],[HOME GAMES]]</f>
        <v>-1.1217948717948718</v>
      </c>
      <c r="V92" s="28">
        <f>393/Table2[[#This Row],[AWAY GAMES]]</f>
        <v>3.7428571428571429</v>
      </c>
      <c r="W92" s="4">
        <v>0.71299999999999997</v>
      </c>
      <c r="X92" s="4">
        <v>0.73599999999999999</v>
      </c>
      <c r="Y92" s="2">
        <v>-175</v>
      </c>
      <c r="Z92" s="2">
        <v>250</v>
      </c>
      <c r="AA92" s="8">
        <f>Table2[[#This Row],[HOME MARGIN]]/Table2[[#This Row],[HOME GAMES]]</f>
        <v>10.089743589743589</v>
      </c>
      <c r="AB92" s="8">
        <f>Table2[[#This Row],[AWAY MARGIN]]/Table2[[#This Row],[AWAY GAMES]]</f>
        <v>-4.3142857142857141</v>
      </c>
      <c r="AC92" s="8">
        <f>Table2[[#This Row],[HOME MARGIN/GAME]]-Table2[[#This Row],[AWAY MARGIN/GAME]]</f>
        <v>14.404029304029304</v>
      </c>
      <c r="AD92" s="23">
        <f>Table2[[#This Row],[HOME W/L%]]-Table2[[#This Row],[AWAY W/L%]]</f>
        <v>0.38600000000000001</v>
      </c>
      <c r="AE92" s="22"/>
      <c r="AF92"/>
    </row>
    <row r="93" spans="1:32" hidden="1" x14ac:dyDescent="0.2">
      <c r="A93" s="1">
        <v>322</v>
      </c>
      <c r="B93" s="1"/>
      <c r="C93" s="2" t="s">
        <v>343</v>
      </c>
      <c r="D93" s="2" t="str">
        <f>IF(COUNTIF($AG$3:$AG$20,C93)&gt;0,$AG$2,
 IF(COUNTIF($AH$3:$AH$20,C93)&gt;0,$AH$2,
 IF(COUNTIF($AI$3:$AI$20,C93)&gt;0,$AI$2,
 IF(COUNTIF($AJ$3:$AJ$20,C93)&gt;0,$AJ$2,
 IF(COUNTIF($AK$3:$AK$20,C93)&gt;0,$AK$2,
 IF(COUNTIF($AL$3:$AL$20,C93)&gt;0,$AL$2,
 IF(COUNTIF($AM$3:$AM$20,C93)&gt;0,$AM$2,"Not Found")))))))</f>
        <v>Not Found</v>
      </c>
      <c r="E93" s="2" t="s">
        <v>10</v>
      </c>
      <c r="F93" s="2" t="s">
        <v>11</v>
      </c>
      <c r="G93" s="2">
        <v>163</v>
      </c>
      <c r="H93" s="2">
        <v>310</v>
      </c>
      <c r="I93" s="2">
        <v>105</v>
      </c>
      <c r="J93" s="2">
        <v>-830</v>
      </c>
      <c r="K93" s="4">
        <v>0.54600000000000004</v>
      </c>
      <c r="L93" s="4">
        <v>0.26700000000000002</v>
      </c>
      <c r="M93" s="2">
        <v>99</v>
      </c>
      <c r="N93" s="2">
        <v>91.3</v>
      </c>
      <c r="O93" s="2">
        <v>96.3</v>
      </c>
      <c r="P93" s="2">
        <v>102.7</v>
      </c>
      <c r="Q93" s="4">
        <v>0.52500000000000002</v>
      </c>
      <c r="R93" s="4">
        <v>0.49</v>
      </c>
      <c r="S93" s="4">
        <v>0.53</v>
      </c>
      <c r="T93" s="4">
        <v>0.54900000000000004</v>
      </c>
      <c r="U93" s="19">
        <f>Table2[[#This Row],[NET PF]]/Table2[[#This Row],[HOME GAMES]]</f>
        <v>0.22699386503067484</v>
      </c>
      <c r="V93" s="28">
        <f>393/Table2[[#This Row],[AWAY GAMES]]</f>
        <v>3.7428571428571429</v>
      </c>
      <c r="W93" s="4">
        <v>0.70499999999999996</v>
      </c>
      <c r="X93" s="4">
        <v>0.70099999999999996</v>
      </c>
      <c r="Y93" s="2">
        <v>37</v>
      </c>
      <c r="Z93" s="2">
        <v>314</v>
      </c>
      <c r="AA93" s="8">
        <f>Table2[[#This Row],[HOME MARGIN]]/Table2[[#This Row],[HOME GAMES]]</f>
        <v>1.9018404907975459</v>
      </c>
      <c r="AB93" s="8">
        <f>Table2[[#This Row],[AWAY MARGIN]]/Table2[[#This Row],[AWAY GAMES]]</f>
        <v>-7.9047619047619051</v>
      </c>
      <c r="AC93" s="8">
        <f>Table2[[#This Row],[HOME MARGIN/GAME]]-Table2[[#This Row],[AWAY MARGIN/GAME]]</f>
        <v>9.8066023955594517</v>
      </c>
      <c r="AD93" s="23">
        <f>Table2[[#This Row],[HOME W/L%]]-Table2[[#This Row],[AWAY W/L%]]</f>
        <v>0.27900000000000003</v>
      </c>
      <c r="AE93" s="22"/>
      <c r="AF93"/>
    </row>
    <row r="94" spans="1:32" hidden="1" x14ac:dyDescent="0.2">
      <c r="A94" s="1">
        <v>204</v>
      </c>
      <c r="B94" s="1"/>
      <c r="C94" s="2" t="s">
        <v>158</v>
      </c>
      <c r="D94" s="2" t="str">
        <f>IF(COUNTIF($AG$3:$AG$20,C94)&gt;0,$AG$2,
 IF(COUNTIF($AH$3:$AH$20,C94)&gt;0,$AH$2,
 IF(COUNTIF($AI$3:$AI$20,C94)&gt;0,$AI$2,
 IF(COUNTIF($AJ$3:$AJ$20,C94)&gt;0,$AJ$2,
 IF(COUNTIF($AK$3:$AK$20,C94)&gt;0,$AK$2,
 IF(COUNTIF($AL$3:$AL$20,C94)&gt;0,$AL$2,
 IF(COUNTIF($AM$3:$AM$20,C94)&gt;0,$AM$2,"Not Found")))))))</f>
        <v>Not Found</v>
      </c>
      <c r="E94" s="2" t="s">
        <v>10</v>
      </c>
      <c r="F94" s="2" t="s">
        <v>11</v>
      </c>
      <c r="G94" s="2">
        <v>152</v>
      </c>
      <c r="H94" s="2">
        <v>950</v>
      </c>
      <c r="I94" s="2">
        <v>128</v>
      </c>
      <c r="J94" s="2">
        <v>-454</v>
      </c>
      <c r="K94" s="4">
        <v>0.64500000000000002</v>
      </c>
      <c r="L94" s="4">
        <v>0.375</v>
      </c>
      <c r="M94" s="2">
        <v>105.7</v>
      </c>
      <c r="N94" s="2">
        <v>99.2</v>
      </c>
      <c r="O94" s="2">
        <v>96.6</v>
      </c>
      <c r="P94" s="2">
        <v>104.3</v>
      </c>
      <c r="Q94" s="4">
        <v>0.54800000000000004</v>
      </c>
      <c r="R94" s="4">
        <v>0.52700000000000002</v>
      </c>
      <c r="S94" s="4">
        <v>0.51500000000000001</v>
      </c>
      <c r="T94" s="4">
        <v>0.55900000000000005</v>
      </c>
      <c r="U94" s="19">
        <f>Table2[[#This Row],[NET PF]]/Table2[[#This Row],[HOME GAMES]]</f>
        <v>-1.7039473684210527</v>
      </c>
      <c r="V94" s="28">
        <f>393/Table2[[#This Row],[AWAY GAMES]]</f>
        <v>3.0703125</v>
      </c>
      <c r="W94" s="4">
        <v>0.69899999999999995</v>
      </c>
      <c r="X94" s="4">
        <v>0.73899999999999999</v>
      </c>
      <c r="Y94" s="2">
        <v>-259</v>
      </c>
      <c r="Z94" s="2">
        <v>201</v>
      </c>
      <c r="AA94" s="8">
        <f>Table2[[#This Row],[HOME MARGIN]]/Table2[[#This Row],[HOME GAMES]]</f>
        <v>6.25</v>
      </c>
      <c r="AB94" s="8">
        <f>Table2[[#This Row],[AWAY MARGIN]]/Table2[[#This Row],[AWAY GAMES]]</f>
        <v>-3.546875</v>
      </c>
      <c r="AC94" s="8">
        <f>Table2[[#This Row],[HOME MARGIN/GAME]]-Table2[[#This Row],[AWAY MARGIN/GAME]]</f>
        <v>9.796875</v>
      </c>
      <c r="AD94" s="23">
        <f>Table2[[#This Row],[HOME W/L%]]-Table2[[#This Row],[AWAY W/L%]]</f>
        <v>0.27</v>
      </c>
      <c r="AE94" s="22"/>
      <c r="AF94"/>
    </row>
    <row r="95" spans="1:32" hidden="1" x14ac:dyDescent="0.2">
      <c r="A95" s="1">
        <v>15</v>
      </c>
      <c r="B95" s="1"/>
      <c r="C95" s="2" t="s">
        <v>18</v>
      </c>
      <c r="D95" s="2" t="str">
        <f>IF(COUNTIF($AG$3:$AG$20,C95)&gt;0,$AG$2,
 IF(COUNTIF($AH$3:$AH$20,C95)&gt;0,$AH$2,
 IF(COUNTIF($AI$3:$AI$20,C95)&gt;0,$AI$2,
 IF(COUNTIF($AJ$3:$AJ$20,C95)&gt;0,$AJ$2,
 IF(COUNTIF($AK$3:$AK$20,C95)&gt;0,$AK$2,
 IF(COUNTIF($AL$3:$AL$20,C95)&gt;0,$AL$2,
 IF(COUNTIF($AM$3:$AM$20,C95)&gt;0,$AM$2,"Not Found")))))))</f>
        <v>Not Found</v>
      </c>
      <c r="E95" s="2" t="s">
        <v>10</v>
      </c>
      <c r="F95" s="2" t="s">
        <v>11</v>
      </c>
      <c r="G95" s="2">
        <v>148</v>
      </c>
      <c r="H95" s="2">
        <v>2362</v>
      </c>
      <c r="I95" s="2">
        <v>142</v>
      </c>
      <c r="J95" s="2">
        <v>374</v>
      </c>
      <c r="K95" s="4">
        <v>0.85099999999999998</v>
      </c>
      <c r="L95" s="4">
        <v>0.52800000000000002</v>
      </c>
      <c r="M95" s="2">
        <v>114.5</v>
      </c>
      <c r="N95" s="2">
        <v>106.6</v>
      </c>
      <c r="O95" s="2">
        <v>92.1</v>
      </c>
      <c r="P95" s="2">
        <v>102.9</v>
      </c>
      <c r="Q95" s="4">
        <v>0.59</v>
      </c>
      <c r="R95" s="4">
        <v>0.56599999999999995</v>
      </c>
      <c r="S95" s="4">
        <v>0.499</v>
      </c>
      <c r="T95" s="4">
        <v>0.54800000000000004</v>
      </c>
      <c r="U95" s="19">
        <f>Table2[[#This Row],[NET PF]]/Table2[[#This Row],[HOME GAMES]]</f>
        <v>-2.0675675675675675</v>
      </c>
      <c r="V95" s="28">
        <f>393/Table2[[#This Row],[AWAY GAMES]]</f>
        <v>2.767605633802817</v>
      </c>
      <c r="W95" s="4">
        <v>0.67200000000000004</v>
      </c>
      <c r="X95" s="4">
        <v>0.71799999999999997</v>
      </c>
      <c r="Y95" s="2">
        <v>-306</v>
      </c>
      <c r="Z95" s="2">
        <v>182</v>
      </c>
      <c r="AA95" s="8">
        <f>Table2[[#This Row],[HOME MARGIN]]/Table2[[#This Row],[HOME GAMES]]</f>
        <v>15.95945945945946</v>
      </c>
      <c r="AB95" s="8">
        <f>Table2[[#This Row],[AWAY MARGIN]]/Table2[[#This Row],[AWAY GAMES]]</f>
        <v>2.6338028169014085</v>
      </c>
      <c r="AC95" s="8">
        <f>Table2[[#This Row],[HOME MARGIN/GAME]]-Table2[[#This Row],[AWAY MARGIN/GAME]]</f>
        <v>13.325656642558052</v>
      </c>
      <c r="AD95" s="23">
        <f>Table2[[#This Row],[HOME W/L%]]-Table2[[#This Row],[AWAY W/L%]]</f>
        <v>0.32299999999999995</v>
      </c>
      <c r="AE95" s="22"/>
      <c r="AF95"/>
    </row>
    <row r="96" spans="1:32" hidden="1" x14ac:dyDescent="0.2">
      <c r="A96" s="1">
        <v>124</v>
      </c>
      <c r="B96" s="1"/>
      <c r="C96" s="2" t="s">
        <v>213</v>
      </c>
      <c r="D96" s="2" t="str">
        <f>IF(COUNTIF($AG$3:$AG$20,C96)&gt;0,$AG$2,
 IF(COUNTIF($AH$3:$AH$20,C96)&gt;0,$AH$2,
 IF(COUNTIF($AI$3:$AI$20,C96)&gt;0,$AI$2,
 IF(COUNTIF($AJ$3:$AJ$20,C96)&gt;0,$AJ$2,
 IF(COUNTIF($AK$3:$AK$20,C96)&gt;0,$AK$2,
 IF(COUNTIF($AL$3:$AL$20,C96)&gt;0,$AL$2,
 IF(COUNTIF($AM$3:$AM$20,C96)&gt;0,$AM$2,"Not Found")))))))</f>
        <v>Not Found</v>
      </c>
      <c r="E96" s="2" t="s">
        <v>10</v>
      </c>
      <c r="F96" s="2" t="s">
        <v>11</v>
      </c>
      <c r="G96" s="2">
        <v>127</v>
      </c>
      <c r="H96" s="2">
        <v>1377</v>
      </c>
      <c r="I96" s="2">
        <v>153</v>
      </c>
      <c r="J96" s="2">
        <v>-640</v>
      </c>
      <c r="K96" s="4">
        <v>0.70099999999999996</v>
      </c>
      <c r="L96" s="4">
        <v>0.34599999999999997</v>
      </c>
      <c r="M96" s="2">
        <v>109.7</v>
      </c>
      <c r="N96" s="2">
        <v>97.6</v>
      </c>
      <c r="O96" s="2">
        <v>94.4</v>
      </c>
      <c r="P96" s="2">
        <v>103.4</v>
      </c>
      <c r="Q96" s="4">
        <v>0.56399999999999995</v>
      </c>
      <c r="R96" s="4">
        <v>0.52800000000000002</v>
      </c>
      <c r="S96" s="4">
        <v>0.51</v>
      </c>
      <c r="T96" s="4">
        <v>0.54200000000000004</v>
      </c>
      <c r="U96" s="19">
        <f>Table2[[#This Row],[NET PF]]/Table2[[#This Row],[HOME GAMES]]</f>
        <v>-3.1496062992125984E-2</v>
      </c>
      <c r="V96" s="28">
        <f>393/Table2[[#This Row],[AWAY GAMES]]</f>
        <v>2.5686274509803924</v>
      </c>
      <c r="W96" s="4">
        <v>0.68799999999999994</v>
      </c>
      <c r="X96" s="4">
        <v>0.72699999999999998</v>
      </c>
      <c r="Y96" s="2">
        <v>-4</v>
      </c>
      <c r="Z96" s="2">
        <v>271</v>
      </c>
      <c r="AA96" s="8">
        <f>Table2[[#This Row],[HOME MARGIN]]/Table2[[#This Row],[HOME GAMES]]</f>
        <v>10.84251968503937</v>
      </c>
      <c r="AB96" s="8">
        <f>Table2[[#This Row],[AWAY MARGIN]]/Table2[[#This Row],[AWAY GAMES]]</f>
        <v>-4.1830065359477127</v>
      </c>
      <c r="AC96" s="8">
        <f>Table2[[#This Row],[HOME MARGIN/GAME]]-Table2[[#This Row],[AWAY MARGIN/GAME]]</f>
        <v>15.025526220987082</v>
      </c>
      <c r="AD96" s="23">
        <f>Table2[[#This Row],[HOME W/L%]]-Table2[[#This Row],[AWAY W/L%]]</f>
        <v>0.35499999999999998</v>
      </c>
      <c r="AE96" s="22"/>
      <c r="AF96"/>
    </row>
    <row r="97" spans="1:35" hidden="1" x14ac:dyDescent="0.2">
      <c r="A97" s="1">
        <v>212</v>
      </c>
      <c r="B97" s="1"/>
      <c r="C97" s="2" t="s">
        <v>144</v>
      </c>
      <c r="D97" s="2" t="str">
        <f>IF(COUNTIF($AG$3:$AG$20,C97)&gt;0,$AG$2,
 IF(COUNTIF($AH$3:$AH$20,C97)&gt;0,$AH$2,
 IF(COUNTIF($AI$3:$AI$20,C97)&gt;0,$AI$2,
 IF(COUNTIF($AJ$3:$AJ$20,C97)&gt;0,$AJ$2,
 IF(COUNTIF($AK$3:$AK$20,C97)&gt;0,$AK$2,
 IF(COUNTIF($AL$3:$AL$20,C97)&gt;0,$AL$2,
 IF(COUNTIF($AM$3:$AM$20,C97)&gt;0,$AM$2,"Not Found")))))))</f>
        <v>Not Found</v>
      </c>
      <c r="E97" s="2" t="s">
        <v>10</v>
      </c>
      <c r="F97" s="2" t="s">
        <v>11</v>
      </c>
      <c r="G97" s="2">
        <v>157</v>
      </c>
      <c r="H97" s="2">
        <v>924</v>
      </c>
      <c r="I97" s="2">
        <v>115</v>
      </c>
      <c r="J97" s="2">
        <v>-410</v>
      </c>
      <c r="K97" s="4">
        <v>0.70099999999999996</v>
      </c>
      <c r="L97" s="4">
        <v>0.4</v>
      </c>
      <c r="M97" s="2">
        <v>104.4</v>
      </c>
      <c r="N97" s="2">
        <v>98</v>
      </c>
      <c r="O97" s="2">
        <v>95.9</v>
      </c>
      <c r="P97" s="2">
        <v>103.2</v>
      </c>
      <c r="Q97" s="4">
        <v>0.54300000000000004</v>
      </c>
      <c r="R97" s="4">
        <v>0.52700000000000002</v>
      </c>
      <c r="S97" s="4">
        <v>0.50600000000000001</v>
      </c>
      <c r="T97" s="4">
        <v>0.53100000000000003</v>
      </c>
      <c r="U97" s="19">
        <f>Table2[[#This Row],[NET PF]]/Table2[[#This Row],[HOME GAMES]]</f>
        <v>-3.4904458598726116</v>
      </c>
      <c r="V97" s="28">
        <f>393/Table2[[#This Row],[AWAY GAMES]]</f>
        <v>3.4173913043478259</v>
      </c>
      <c r="W97" s="4">
        <v>0.69299999999999995</v>
      </c>
      <c r="X97" s="4">
        <v>0.69799999999999995</v>
      </c>
      <c r="Y97" s="2">
        <v>-548</v>
      </c>
      <c r="Z97" s="2">
        <v>146</v>
      </c>
      <c r="AA97" s="8">
        <f>Table2[[#This Row],[HOME MARGIN]]/Table2[[#This Row],[HOME GAMES]]</f>
        <v>5.8853503184713372</v>
      </c>
      <c r="AB97" s="8">
        <f>Table2[[#This Row],[AWAY MARGIN]]/Table2[[#This Row],[AWAY GAMES]]</f>
        <v>-3.5652173913043477</v>
      </c>
      <c r="AC97" s="8">
        <f>Table2[[#This Row],[HOME MARGIN/GAME]]-Table2[[#This Row],[AWAY MARGIN/GAME]]</f>
        <v>9.4505677097756848</v>
      </c>
      <c r="AD97" s="23">
        <f>Table2[[#This Row],[HOME W/L%]]-Table2[[#This Row],[AWAY W/L%]]</f>
        <v>0.30099999999999993</v>
      </c>
      <c r="AE97" s="22"/>
      <c r="AF97"/>
    </row>
    <row r="98" spans="1:35" hidden="1" x14ac:dyDescent="0.2">
      <c r="A98" s="1">
        <v>266</v>
      </c>
      <c r="B98" s="1"/>
      <c r="C98" s="2" t="s">
        <v>359</v>
      </c>
      <c r="D98" s="2" t="str">
        <f>IF(COUNTIF($AG$3:$AG$20,C98)&gt;0,$AG$2,
 IF(COUNTIF($AH$3:$AH$20,C98)&gt;0,$AH$2,
 IF(COUNTIF($AI$3:$AI$20,C98)&gt;0,$AI$2,
 IF(COUNTIF($AJ$3:$AJ$20,C98)&gt;0,$AJ$2,
 IF(COUNTIF($AK$3:$AK$20,C98)&gt;0,$AK$2,
 IF(COUNTIF($AL$3:$AL$20,C98)&gt;0,$AL$2,
 IF(COUNTIF($AM$3:$AM$20,C98)&gt;0,$AM$2,"Not Found")))))))</f>
        <v>Not Found</v>
      </c>
      <c r="E98" s="2" t="s">
        <v>10</v>
      </c>
      <c r="F98" s="2" t="s">
        <v>11</v>
      </c>
      <c r="G98" s="2">
        <v>158</v>
      </c>
      <c r="H98" s="2">
        <v>648</v>
      </c>
      <c r="I98" s="2">
        <v>110</v>
      </c>
      <c r="J98" s="2">
        <v>-763</v>
      </c>
      <c r="K98" s="4">
        <v>0.63300000000000001</v>
      </c>
      <c r="L98" s="4">
        <v>0.3</v>
      </c>
      <c r="M98" s="2">
        <v>104.8</v>
      </c>
      <c r="N98" s="2">
        <v>96.8</v>
      </c>
      <c r="O98" s="2">
        <v>99</v>
      </c>
      <c r="P98" s="2">
        <v>106.9</v>
      </c>
      <c r="Q98" s="4">
        <v>0.55100000000000005</v>
      </c>
      <c r="R98" s="4">
        <v>0.51800000000000002</v>
      </c>
      <c r="S98" s="4">
        <v>0.51300000000000001</v>
      </c>
      <c r="T98" s="4">
        <v>0.54700000000000004</v>
      </c>
      <c r="U98" s="19">
        <f>Table2[[#This Row],[NET PF]]/Table2[[#This Row],[HOME GAMES]]</f>
        <v>-2.6645569620253164</v>
      </c>
      <c r="V98" s="28">
        <f>393/Table2[[#This Row],[AWAY GAMES]]</f>
        <v>3.5727272727272728</v>
      </c>
      <c r="W98" s="4">
        <v>0.69699999999999995</v>
      </c>
      <c r="X98" s="4">
        <v>0.71599999999999997</v>
      </c>
      <c r="Y98" s="2">
        <v>-421</v>
      </c>
      <c r="Z98" s="2">
        <v>45</v>
      </c>
      <c r="AA98" s="8">
        <f>Table2[[#This Row],[HOME MARGIN]]/Table2[[#This Row],[HOME GAMES]]</f>
        <v>4.1012658227848098</v>
      </c>
      <c r="AB98" s="8">
        <f>Table2[[#This Row],[AWAY MARGIN]]/Table2[[#This Row],[AWAY GAMES]]</f>
        <v>-6.9363636363636365</v>
      </c>
      <c r="AC98" s="8">
        <f>Table2[[#This Row],[HOME MARGIN/GAME]]-Table2[[#This Row],[AWAY MARGIN/GAME]]</f>
        <v>11.037629459148446</v>
      </c>
      <c r="AD98" s="23">
        <f>Table2[[#This Row],[HOME W/L%]]-Table2[[#This Row],[AWAY W/L%]]</f>
        <v>0.33300000000000002</v>
      </c>
      <c r="AE98" s="22"/>
      <c r="AF98"/>
    </row>
    <row r="99" spans="1:35" x14ac:dyDescent="0.2">
      <c r="A99" s="1">
        <v>299</v>
      </c>
      <c r="B99" s="1">
        <v>76</v>
      </c>
      <c r="C99" s="2" t="s">
        <v>361</v>
      </c>
      <c r="D99" s="2" t="str">
        <f>IF(COUNTIF($AG$3:$AG$20,C99)&gt;0,$AG$2,
 IF(COUNTIF($AH$3:$AH$20,C99)&gt;0,$AH$2,
 IF(COUNTIF($AI$3:$AI$20,C99)&gt;0,$AI$2,
 IF(COUNTIF($AJ$3:$AJ$20,C99)&gt;0,$AJ$2,
 IF(COUNTIF($AK$3:$AK$20,C99)&gt;0,$AK$2,
 IF(COUNTIF($AL$3:$AL$20,C99)&gt;0,$AL$2,
 IF(COUNTIF($AM$3:$AM$20,C99)&gt;0,$AM$2,"Not Found")))))))</f>
        <v>Big East</v>
      </c>
      <c r="E99" s="2" t="s">
        <v>10</v>
      </c>
      <c r="F99" s="2" t="s">
        <v>11</v>
      </c>
      <c r="G99" s="2">
        <v>174</v>
      </c>
      <c r="H99" s="2">
        <v>501</v>
      </c>
      <c r="I99" s="2">
        <v>109</v>
      </c>
      <c r="J99" s="2">
        <v>-744</v>
      </c>
      <c r="K99" s="4">
        <v>0.52300000000000002</v>
      </c>
      <c r="L99" s="4">
        <v>0.25700000000000001</v>
      </c>
      <c r="M99" s="2">
        <v>104.2</v>
      </c>
      <c r="N99" s="2">
        <v>100.7</v>
      </c>
      <c r="O99" s="2">
        <v>100.2</v>
      </c>
      <c r="P99" s="2">
        <v>110.2</v>
      </c>
      <c r="Q99" s="4">
        <v>0.54100000000000004</v>
      </c>
      <c r="R99" s="4">
        <v>0.53200000000000003</v>
      </c>
      <c r="S99" s="4">
        <v>0.52600000000000002</v>
      </c>
      <c r="T99" s="4">
        <v>0.56799999999999995</v>
      </c>
      <c r="U99" s="19">
        <f>Table2[[#This Row],[NET PF]]/Table2[[#This Row],[HOME GAMES]]</f>
        <v>-1.9712643678160919</v>
      </c>
      <c r="V99" s="28">
        <f>393/Table2[[#This Row],[AWAY GAMES]]</f>
        <v>3.6055045871559632</v>
      </c>
      <c r="W99" s="4">
        <v>0.70599999999999996</v>
      </c>
      <c r="X99" s="4">
        <v>0.749</v>
      </c>
      <c r="Y99" s="2">
        <v>-343</v>
      </c>
      <c r="Z99" s="2">
        <v>251</v>
      </c>
      <c r="AA99" s="8">
        <f>Table2[[#This Row],[HOME MARGIN]]/Table2[[#This Row],[HOME GAMES]]</f>
        <v>2.8793103448275863</v>
      </c>
      <c r="AB99" s="8">
        <f>Table2[[#This Row],[AWAY MARGIN]]/Table2[[#This Row],[AWAY GAMES]]</f>
        <v>-6.8256880733944953</v>
      </c>
      <c r="AC99" s="8">
        <f>Table2[[#This Row],[HOME MARGIN/GAME]]-Table2[[#This Row],[AWAY MARGIN/GAME]]</f>
        <v>9.7049984182220825</v>
      </c>
      <c r="AD99" s="23">
        <f>Table2[[#This Row],[HOME W/L%]]-Table2[[#This Row],[AWAY W/L%]]</f>
        <v>0.26600000000000001</v>
      </c>
      <c r="AE99" s="22"/>
      <c r="AF99"/>
    </row>
    <row r="100" spans="1:35" x14ac:dyDescent="0.2">
      <c r="A100" s="1">
        <v>211</v>
      </c>
      <c r="B100" s="1">
        <v>71</v>
      </c>
      <c r="C100" s="2" t="s">
        <v>328</v>
      </c>
      <c r="D100" s="2" t="str">
        <f>IF(COUNTIF($AG$3:$AG$20,C100)&gt;0,$AG$2,
 IF(COUNTIF($AH$3:$AH$20,C100)&gt;0,$AH$2,
 IF(COUNTIF($AI$3:$AI$20,C100)&gt;0,$AI$2,
 IF(COUNTIF($AJ$3:$AJ$20,C100)&gt;0,$AJ$2,
 IF(COUNTIF($AK$3:$AK$20,C100)&gt;0,$AK$2,
 IF(COUNTIF($AL$3:$AL$20,C100)&gt;0,$AL$2,
 IF(COUNTIF($AM$3:$AM$20,C100)&gt;0,$AM$2,"Not Found")))))))</f>
        <v>SEC</v>
      </c>
      <c r="E100" s="2" t="s">
        <v>10</v>
      </c>
      <c r="F100" s="2" t="s">
        <v>11</v>
      </c>
      <c r="G100" s="2">
        <v>173</v>
      </c>
      <c r="H100" s="2">
        <v>926</v>
      </c>
      <c r="I100" s="2">
        <v>108</v>
      </c>
      <c r="J100" s="2">
        <v>-902</v>
      </c>
      <c r="K100" s="4">
        <v>0.66500000000000004</v>
      </c>
      <c r="L100" s="4">
        <v>0.25</v>
      </c>
      <c r="M100" s="2">
        <v>104.8</v>
      </c>
      <c r="N100" s="2">
        <v>96.7</v>
      </c>
      <c r="O100" s="2">
        <v>97.3</v>
      </c>
      <c r="P100" s="2">
        <v>108.5</v>
      </c>
      <c r="Q100" s="4">
        <v>0.55200000000000005</v>
      </c>
      <c r="R100" s="4">
        <v>0.51800000000000002</v>
      </c>
      <c r="S100" s="4">
        <v>0.504</v>
      </c>
      <c r="T100" s="4">
        <v>0.55300000000000005</v>
      </c>
      <c r="U100" s="19">
        <f>Table2[[#This Row],[NET PF]]/Table2[[#This Row],[HOME GAMES]]</f>
        <v>-3.3352601156069364</v>
      </c>
      <c r="V100" s="28">
        <f>393/Table2[[#This Row],[AWAY GAMES]]</f>
        <v>3.6388888888888888</v>
      </c>
      <c r="W100" s="4">
        <v>0.68700000000000006</v>
      </c>
      <c r="X100" s="4">
        <v>0.72099999999999997</v>
      </c>
      <c r="Y100" s="2">
        <v>-577</v>
      </c>
      <c r="Z100" s="2">
        <v>70</v>
      </c>
      <c r="AA100" s="8">
        <f>Table2[[#This Row],[HOME MARGIN]]/Table2[[#This Row],[HOME GAMES]]</f>
        <v>5.3526011560693645</v>
      </c>
      <c r="AB100" s="8">
        <f>Table2[[#This Row],[AWAY MARGIN]]/Table2[[#This Row],[AWAY GAMES]]</f>
        <v>-8.3518518518518512</v>
      </c>
      <c r="AC100" s="8">
        <f>Table2[[#This Row],[HOME MARGIN/GAME]]-Table2[[#This Row],[AWAY MARGIN/GAME]]</f>
        <v>13.704453007921217</v>
      </c>
      <c r="AD100" s="23">
        <f>Table2[[#This Row],[HOME W/L%]]-Table2[[#This Row],[AWAY W/L%]]</f>
        <v>0.41500000000000004</v>
      </c>
      <c r="AE100" s="22"/>
      <c r="AF100"/>
    </row>
    <row r="101" spans="1:35" hidden="1" x14ac:dyDescent="0.2">
      <c r="A101" s="1">
        <v>123</v>
      </c>
      <c r="B101" s="1"/>
      <c r="C101" s="2" t="s">
        <v>364</v>
      </c>
      <c r="D101" s="2" t="str">
        <f>IF(COUNTIF($AG$3:$AG$20,C101)&gt;0,$AG$2,
 IF(COUNTIF($AH$3:$AH$20,C101)&gt;0,$AH$2,
 IF(COUNTIF($AI$3:$AI$20,C101)&gt;0,$AI$2,
 IF(COUNTIF($AJ$3:$AJ$20,C101)&gt;0,$AJ$2,
 IF(COUNTIF($AK$3:$AK$20,C101)&gt;0,$AK$2,
 IF(COUNTIF($AL$3:$AL$20,C101)&gt;0,$AL$2,
 IF(COUNTIF($AM$3:$AM$20,C101)&gt;0,$AM$2,"Not Found")))))))</f>
        <v>Not Found</v>
      </c>
      <c r="E101" s="2" t="s">
        <v>10</v>
      </c>
      <c r="F101" s="2" t="s">
        <v>11</v>
      </c>
      <c r="G101" s="2">
        <v>134</v>
      </c>
      <c r="H101" s="2">
        <v>1385</v>
      </c>
      <c r="I101" s="2">
        <v>148</v>
      </c>
      <c r="J101" s="2">
        <v>-731</v>
      </c>
      <c r="K101" s="4">
        <v>0.70899999999999996</v>
      </c>
      <c r="L101" s="4">
        <v>0.33100000000000002</v>
      </c>
      <c r="M101" s="2">
        <v>107.9</v>
      </c>
      <c r="N101" s="2">
        <v>98.5</v>
      </c>
      <c r="O101" s="2">
        <v>93.7</v>
      </c>
      <c r="P101" s="2">
        <v>105.4</v>
      </c>
      <c r="Q101" s="4">
        <v>0.55800000000000005</v>
      </c>
      <c r="R101" s="4">
        <v>0.52</v>
      </c>
      <c r="S101" s="4">
        <v>0.505</v>
      </c>
      <c r="T101" s="4">
        <v>0.55200000000000005</v>
      </c>
      <c r="U101" s="19">
        <f>Table2[[#This Row],[NET PF]]/Table2[[#This Row],[HOME GAMES]]</f>
        <v>-1.044776119402985</v>
      </c>
      <c r="V101" s="28">
        <f>393/Table2[[#This Row],[AWAY GAMES]]</f>
        <v>2.6554054054054053</v>
      </c>
      <c r="W101" s="4">
        <v>0.66600000000000004</v>
      </c>
      <c r="X101" s="4">
        <v>0.70099999999999996</v>
      </c>
      <c r="Y101" s="2">
        <v>-140</v>
      </c>
      <c r="Z101" s="2">
        <v>427</v>
      </c>
      <c r="AA101" s="8">
        <f>Table2[[#This Row],[HOME MARGIN]]/Table2[[#This Row],[HOME GAMES]]</f>
        <v>10.335820895522389</v>
      </c>
      <c r="AB101" s="8">
        <f>Table2[[#This Row],[AWAY MARGIN]]/Table2[[#This Row],[AWAY GAMES]]</f>
        <v>-4.9391891891891895</v>
      </c>
      <c r="AC101" s="8">
        <f>Table2[[#This Row],[HOME MARGIN/GAME]]-Table2[[#This Row],[AWAY MARGIN/GAME]]</f>
        <v>15.275010084711578</v>
      </c>
      <c r="AD101" s="23">
        <f>Table2[[#This Row],[HOME W/L%]]-Table2[[#This Row],[AWAY W/L%]]</f>
        <v>0.37799999999999995</v>
      </c>
      <c r="AE101" s="22"/>
      <c r="AF101"/>
    </row>
    <row r="102" spans="1:35" hidden="1" x14ac:dyDescent="0.2">
      <c r="A102" s="1">
        <v>134</v>
      </c>
      <c r="B102" s="1"/>
      <c r="C102" s="2" t="s">
        <v>164</v>
      </c>
      <c r="D102" s="2" t="str">
        <f>IF(COUNTIF($AG$3:$AG$20,C102)&gt;0,$AG$2,
 IF(COUNTIF($AH$3:$AH$20,C102)&gt;0,$AH$2,
 IF(COUNTIF($AI$3:$AI$20,C102)&gt;0,$AI$2,
 IF(COUNTIF($AJ$3:$AJ$20,C102)&gt;0,$AJ$2,
 IF(COUNTIF($AK$3:$AK$20,C102)&gt;0,$AK$2,
 IF(COUNTIF($AL$3:$AL$20,C102)&gt;0,$AL$2,
 IF(COUNTIF($AM$3:$AM$20,C102)&gt;0,$AM$2,"Not Found")))))))</f>
        <v>Not Found</v>
      </c>
      <c r="E102" s="2" t="s">
        <v>10</v>
      </c>
      <c r="F102" s="2" t="s">
        <v>11</v>
      </c>
      <c r="G102" s="2">
        <v>141</v>
      </c>
      <c r="H102" s="2">
        <v>1338</v>
      </c>
      <c r="I102" s="2">
        <v>134</v>
      </c>
      <c r="J102" s="2">
        <v>-489</v>
      </c>
      <c r="K102" s="4">
        <v>0.73799999999999999</v>
      </c>
      <c r="L102" s="4">
        <v>0.38100000000000001</v>
      </c>
      <c r="M102" s="2">
        <v>109</v>
      </c>
      <c r="N102" s="2">
        <v>98.5</v>
      </c>
      <c r="O102" s="2">
        <v>95.7</v>
      </c>
      <c r="P102" s="2">
        <v>103.6</v>
      </c>
      <c r="Q102" s="4">
        <v>0.55800000000000005</v>
      </c>
      <c r="R102" s="4">
        <v>0.51900000000000002</v>
      </c>
      <c r="S102" s="4">
        <v>0.50700000000000001</v>
      </c>
      <c r="T102" s="4">
        <v>0.54200000000000004</v>
      </c>
      <c r="U102" s="19">
        <f>Table2[[#This Row],[NET PF]]/Table2[[#This Row],[HOME GAMES]]</f>
        <v>-0.71631205673758869</v>
      </c>
      <c r="V102" s="28">
        <f>393/Table2[[#This Row],[AWAY GAMES]]</f>
        <v>2.9328358208955225</v>
      </c>
      <c r="W102" s="4">
        <v>0.71499999999999997</v>
      </c>
      <c r="X102" s="4">
        <v>0.70799999999999996</v>
      </c>
      <c r="Y102" s="2">
        <v>-101</v>
      </c>
      <c r="Z102" s="2">
        <v>342</v>
      </c>
      <c r="AA102" s="8">
        <f>Table2[[#This Row],[HOME MARGIN]]/Table2[[#This Row],[HOME GAMES]]</f>
        <v>9.4893617021276597</v>
      </c>
      <c r="AB102" s="8">
        <f>Table2[[#This Row],[AWAY MARGIN]]/Table2[[#This Row],[AWAY GAMES]]</f>
        <v>-3.6492537313432836</v>
      </c>
      <c r="AC102" s="8">
        <f>Table2[[#This Row],[HOME MARGIN/GAME]]-Table2[[#This Row],[AWAY MARGIN/GAME]]</f>
        <v>13.138615433470942</v>
      </c>
      <c r="AD102" s="23">
        <f>Table2[[#This Row],[HOME W/L%]]-Table2[[#This Row],[AWAY W/L%]]</f>
        <v>0.35699999999999998</v>
      </c>
      <c r="AE102" s="22"/>
      <c r="AF102"/>
    </row>
    <row r="103" spans="1:35" x14ac:dyDescent="0.2">
      <c r="A103" s="1">
        <v>234</v>
      </c>
      <c r="B103" s="1">
        <v>75</v>
      </c>
      <c r="C103" s="2" t="s">
        <v>365</v>
      </c>
      <c r="D103" s="2" t="str">
        <f>IF(COUNTIF($AG$3:$AG$20,C103)&gt;0,$AG$2,
 IF(COUNTIF($AH$3:$AH$20,C103)&gt;0,$AH$2,
 IF(COUNTIF($AI$3:$AI$20,C103)&gt;0,$AI$2,
 IF(COUNTIF($AJ$3:$AJ$20,C103)&gt;0,$AJ$2,
 IF(COUNTIF($AK$3:$AK$20,C103)&gt;0,$AK$2,
 IF(COUNTIF($AL$3:$AL$20,C103)&gt;0,$AL$2,
 IF(COUNTIF($AM$3:$AM$20,C103)&gt;0,$AM$2,"Not Found")))))))</f>
        <v>ACC</v>
      </c>
      <c r="E103" s="2" t="s">
        <v>10</v>
      </c>
      <c r="F103" s="2" t="s">
        <v>11</v>
      </c>
      <c r="G103" s="2">
        <v>173</v>
      </c>
      <c r="H103" s="2">
        <v>801</v>
      </c>
      <c r="I103" s="2">
        <v>115</v>
      </c>
      <c r="J103" s="2">
        <v>-727</v>
      </c>
      <c r="K103" s="4">
        <v>0.65300000000000002</v>
      </c>
      <c r="L103" s="4">
        <v>0.27800000000000002</v>
      </c>
      <c r="M103" s="2">
        <v>101.4</v>
      </c>
      <c r="N103" s="2">
        <v>97.2</v>
      </c>
      <c r="O103" s="2">
        <v>94.9</v>
      </c>
      <c r="P103" s="2">
        <v>106.4</v>
      </c>
      <c r="Q103" s="4">
        <v>0.53300000000000003</v>
      </c>
      <c r="R103" s="4">
        <v>0.51700000000000002</v>
      </c>
      <c r="S103" s="4">
        <v>0.497</v>
      </c>
      <c r="T103" s="4">
        <v>0.54500000000000004</v>
      </c>
      <c r="U103" s="19">
        <f>Table2[[#This Row],[NET PF]]/Table2[[#This Row],[HOME GAMES]]</f>
        <v>-1.277456647398844</v>
      </c>
      <c r="V103" s="28">
        <f>393/Table2[[#This Row],[AWAY GAMES]]</f>
        <v>3.4173913043478259</v>
      </c>
      <c r="W103" s="4">
        <v>0.67900000000000005</v>
      </c>
      <c r="X103" s="4">
        <v>0.753</v>
      </c>
      <c r="Y103" s="2">
        <v>-221</v>
      </c>
      <c r="Z103" s="2">
        <v>312</v>
      </c>
      <c r="AA103" s="8">
        <f>Table2[[#This Row],[HOME MARGIN]]/Table2[[#This Row],[HOME GAMES]]</f>
        <v>4.6300578034682083</v>
      </c>
      <c r="AB103" s="8">
        <f>Table2[[#This Row],[AWAY MARGIN]]/Table2[[#This Row],[AWAY GAMES]]</f>
        <v>-6.321739130434783</v>
      </c>
      <c r="AC103" s="8">
        <f>Table2[[#This Row],[HOME MARGIN/GAME]]-Table2[[#This Row],[AWAY MARGIN/GAME]]</f>
        <v>10.95179693390299</v>
      </c>
      <c r="AD103" s="23">
        <f>Table2[[#This Row],[HOME W/L%]]-Table2[[#This Row],[AWAY W/L%]]</f>
        <v>0.375</v>
      </c>
      <c r="AE103" s="22"/>
      <c r="AF103"/>
    </row>
    <row r="104" spans="1:35" hidden="1" x14ac:dyDescent="0.2">
      <c r="A104" s="1">
        <v>1</v>
      </c>
      <c r="B104" s="17">
        <v>1</v>
      </c>
      <c r="C104" s="13" t="s">
        <v>9</v>
      </c>
      <c r="D104" s="2" t="str">
        <f>IF(COUNTIF($AG$3:$AG$20,C104)&gt;0,$AG$2,
 IF(COUNTIF($AH$3:$AH$20,C104)&gt;0,$AH$2,
 IF(COUNTIF($AI$3:$AI$20,C104)&gt;0,$AI$2,
 IF(COUNTIF($AJ$3:$AJ$20,C104)&gt;0,$AJ$2,
 IF(COUNTIF($AK$3:$AK$20,C104)&gt;0,$AK$2,
 IF(COUNTIF($AL$3:$AL$20,C104)&gt;0,$AL$2,
 IF(COUNTIF($AM$3:$AM$20,C104)&gt;0,$AM$2,"Not Found")))))))</f>
        <v>Not Found</v>
      </c>
      <c r="E104" s="2" t="s">
        <v>10</v>
      </c>
      <c r="F104" s="2" t="s">
        <v>11</v>
      </c>
      <c r="G104" s="2">
        <v>155</v>
      </c>
      <c r="H104" s="2">
        <v>3933</v>
      </c>
      <c r="I104" s="2">
        <v>94</v>
      </c>
      <c r="J104" s="2">
        <v>1487</v>
      </c>
      <c r="K104" s="4">
        <v>0.92900000000000005</v>
      </c>
      <c r="L104" s="4">
        <v>0.872</v>
      </c>
      <c r="M104" s="2">
        <v>122.6</v>
      </c>
      <c r="N104" s="2">
        <v>117.6</v>
      </c>
      <c r="O104" s="2">
        <v>87.9</v>
      </c>
      <c r="P104" s="2">
        <v>95.7</v>
      </c>
      <c r="Q104" s="4">
        <v>0.61699999999999999</v>
      </c>
      <c r="R104" s="4">
        <v>0.60599999999999998</v>
      </c>
      <c r="S104" s="4">
        <v>0.47299999999999998</v>
      </c>
      <c r="T104" s="4">
        <v>0.50600000000000001</v>
      </c>
      <c r="U104" s="19">
        <f>Table2[[#This Row],[NET PF]]/Table2[[#This Row],[HOME GAMES]]</f>
        <v>-3.5870967741935482</v>
      </c>
      <c r="V104" s="28">
        <f>393/Table2[[#This Row],[AWAY GAMES]]</f>
        <v>4.1808510638297873</v>
      </c>
      <c r="W104" s="4">
        <v>0.68300000000000005</v>
      </c>
      <c r="X104" s="4">
        <v>0.71699999999999997</v>
      </c>
      <c r="Y104" s="2">
        <v>-556</v>
      </c>
      <c r="Z104" s="2">
        <v>-145</v>
      </c>
      <c r="AA104" s="8">
        <f>Table2[[#This Row],[HOME MARGIN]]/Table2[[#This Row],[HOME GAMES]]</f>
        <v>25.374193548387098</v>
      </c>
      <c r="AB104" s="8">
        <f>Table2[[#This Row],[AWAY MARGIN]]/Table2[[#This Row],[AWAY GAMES]]</f>
        <v>15.819148936170214</v>
      </c>
      <c r="AC104" s="8">
        <f>Table2[[#This Row],[HOME MARGIN/GAME]]-Table2[[#This Row],[AWAY MARGIN/GAME]]</f>
        <v>9.5550446122168839</v>
      </c>
      <c r="AD104" s="23">
        <f>Table2[[#This Row],[HOME W/L%]]-Table2[[#This Row],[AWAY W/L%]]</f>
        <v>5.7000000000000051E-2</v>
      </c>
      <c r="AE104" s="22"/>
      <c r="AF104"/>
    </row>
    <row r="105" spans="1:35" hidden="1" x14ac:dyDescent="0.2">
      <c r="A105" s="1">
        <v>175</v>
      </c>
      <c r="B105" s="1"/>
      <c r="C105" s="2" t="s">
        <v>275</v>
      </c>
      <c r="D105" s="2" t="str">
        <f>IF(COUNTIF($AG$3:$AG$20,C105)&gt;0,$AG$2,
 IF(COUNTIF($AH$3:$AH$20,C105)&gt;0,$AH$2,
 IF(COUNTIF($AI$3:$AI$20,C105)&gt;0,$AI$2,
 IF(COUNTIF($AJ$3:$AJ$20,C105)&gt;0,$AJ$2,
 IF(COUNTIF($AK$3:$AK$20,C105)&gt;0,$AK$2,
 IF(COUNTIF($AL$3:$AL$20,C105)&gt;0,$AL$2,
 IF(COUNTIF($AM$3:$AM$20,C105)&gt;0,$AM$2,"Not Found")))))))</f>
        <v>Not Found</v>
      </c>
      <c r="E105" s="2" t="s">
        <v>10</v>
      </c>
      <c r="F105" s="2" t="s">
        <v>11</v>
      </c>
      <c r="G105" s="2">
        <v>118</v>
      </c>
      <c r="H105" s="2">
        <v>1101</v>
      </c>
      <c r="I105" s="2">
        <v>164</v>
      </c>
      <c r="J105" s="2">
        <v>-1229</v>
      </c>
      <c r="K105" s="4">
        <v>0.68600000000000005</v>
      </c>
      <c r="L105" s="4">
        <v>0.34799999999999998</v>
      </c>
      <c r="M105" s="2">
        <v>103.2</v>
      </c>
      <c r="N105" s="2">
        <v>91.4</v>
      </c>
      <c r="O105" s="2">
        <v>90.2</v>
      </c>
      <c r="P105" s="2">
        <v>102</v>
      </c>
      <c r="Q105" s="4">
        <v>0.54200000000000004</v>
      </c>
      <c r="R105" s="4">
        <v>0.502</v>
      </c>
      <c r="S105" s="4">
        <v>0.48699999999999999</v>
      </c>
      <c r="T105" s="4">
        <v>0.53700000000000003</v>
      </c>
      <c r="U105" s="19">
        <f>Table2[[#This Row],[NET PF]]/Table2[[#This Row],[HOME GAMES]]</f>
        <v>-0.83898305084745761</v>
      </c>
      <c r="V105" s="28">
        <f>393/Table2[[#This Row],[AWAY GAMES]]</f>
        <v>2.3963414634146343</v>
      </c>
      <c r="W105" s="4">
        <v>0.67900000000000005</v>
      </c>
      <c r="X105" s="4">
        <v>0.68300000000000005</v>
      </c>
      <c r="Y105" s="2">
        <v>-99</v>
      </c>
      <c r="Z105" s="2">
        <v>282</v>
      </c>
      <c r="AA105" s="8">
        <f>Table2[[#This Row],[HOME MARGIN]]/Table2[[#This Row],[HOME GAMES]]</f>
        <v>9.3305084745762716</v>
      </c>
      <c r="AB105" s="8">
        <f>Table2[[#This Row],[AWAY MARGIN]]/Table2[[#This Row],[AWAY GAMES]]</f>
        <v>-7.4939024390243905</v>
      </c>
      <c r="AC105" s="8">
        <f>Table2[[#This Row],[HOME MARGIN/GAME]]-Table2[[#This Row],[AWAY MARGIN/GAME]]</f>
        <v>16.824410913600662</v>
      </c>
      <c r="AD105" s="23">
        <f>Table2[[#This Row],[HOME W/L%]]-Table2[[#This Row],[AWAY W/L%]]</f>
        <v>0.33800000000000008</v>
      </c>
      <c r="AE105" s="22"/>
      <c r="AF105"/>
    </row>
    <row r="106" spans="1:35" hidden="1" x14ac:dyDescent="0.2">
      <c r="A106" s="1">
        <v>14</v>
      </c>
      <c r="B106" s="1"/>
      <c r="C106" s="2" t="s">
        <v>53</v>
      </c>
      <c r="D106" s="2" t="str">
        <f>IF(COUNTIF($AG$3:$AG$20,C106)&gt;0,$AG$2,
 IF(COUNTIF($AH$3:$AH$20,C106)&gt;0,$AH$2,
 IF(COUNTIF($AI$3:$AI$20,C106)&gt;0,$AI$2,
 IF(COUNTIF($AJ$3:$AJ$20,C106)&gt;0,$AJ$2,
 IF(COUNTIF($AK$3:$AK$20,C106)&gt;0,$AK$2,
 IF(COUNTIF($AL$3:$AL$20,C106)&gt;0,$AL$2,
 IF(COUNTIF($AM$3:$AM$20,C106)&gt;0,$AM$2,"Not Found")))))))</f>
        <v>Not Found</v>
      </c>
      <c r="E106" s="2" t="s">
        <v>10</v>
      </c>
      <c r="F106" s="2" t="s">
        <v>11</v>
      </c>
      <c r="G106" s="2">
        <v>165</v>
      </c>
      <c r="H106" s="2">
        <v>2364</v>
      </c>
      <c r="I106" s="2">
        <v>101</v>
      </c>
      <c r="J106" s="2">
        <v>9</v>
      </c>
      <c r="K106" s="4">
        <v>0.83599999999999997</v>
      </c>
      <c r="L106" s="4">
        <v>0.52500000000000002</v>
      </c>
      <c r="M106" s="2">
        <v>109.9</v>
      </c>
      <c r="N106" s="2">
        <v>99.6</v>
      </c>
      <c r="O106" s="2">
        <v>89.7</v>
      </c>
      <c r="P106" s="2">
        <v>99.5</v>
      </c>
      <c r="Q106" s="4">
        <v>0.56399999999999995</v>
      </c>
      <c r="R106" s="4">
        <v>0.52800000000000002</v>
      </c>
      <c r="S106" s="4">
        <v>0.48499999999999999</v>
      </c>
      <c r="T106" s="4">
        <v>0.52200000000000002</v>
      </c>
      <c r="U106" s="19">
        <f>Table2[[#This Row],[NET PF]]/Table2[[#This Row],[HOME GAMES]]</f>
        <v>-3</v>
      </c>
      <c r="V106" s="28">
        <f>393/Table2[[#This Row],[AWAY GAMES]]</f>
        <v>3.891089108910891</v>
      </c>
      <c r="W106" s="4">
        <v>0.68</v>
      </c>
      <c r="X106" s="4">
        <v>0.72499999999999998</v>
      </c>
      <c r="Y106" s="2">
        <v>-495</v>
      </c>
      <c r="Z106" s="2">
        <v>-35</v>
      </c>
      <c r="AA106" s="8">
        <f>Table2[[#This Row],[HOME MARGIN]]/Table2[[#This Row],[HOME GAMES]]</f>
        <v>14.327272727272728</v>
      </c>
      <c r="AB106" s="8">
        <f>Table2[[#This Row],[AWAY MARGIN]]/Table2[[#This Row],[AWAY GAMES]]</f>
        <v>8.9108910891089105E-2</v>
      </c>
      <c r="AC106" s="8">
        <f>Table2[[#This Row],[HOME MARGIN/GAME]]-Table2[[#This Row],[AWAY MARGIN/GAME]]</f>
        <v>14.23816381638164</v>
      </c>
      <c r="AD106" s="23">
        <f>Table2[[#This Row],[HOME W/L%]]-Table2[[#This Row],[AWAY W/L%]]</f>
        <v>0.31099999999999994</v>
      </c>
      <c r="AE106" s="22"/>
      <c r="AF106"/>
    </row>
    <row r="107" spans="1:35" hidden="1" x14ac:dyDescent="0.2">
      <c r="A107" s="1">
        <v>295</v>
      </c>
      <c r="B107" s="1"/>
      <c r="C107" s="2" t="s">
        <v>266</v>
      </c>
      <c r="D107" s="2" t="str">
        <f>IF(COUNTIF($AG$3:$AG$20,C107)&gt;0,$AG$2,
 IF(COUNTIF($AH$3:$AH$20,C107)&gt;0,$AH$2,
 IF(COUNTIF($AI$3:$AI$20,C107)&gt;0,$AI$2,
 IF(COUNTIF($AJ$3:$AJ$20,C107)&gt;0,$AJ$2,
 IF(COUNTIF($AK$3:$AK$20,C107)&gt;0,$AK$2,
 IF(COUNTIF($AL$3:$AL$20,C107)&gt;0,$AL$2,
 IF(COUNTIF($AM$3:$AM$20,C107)&gt;0,$AM$2,"Not Found")))))))</f>
        <v>Not Found</v>
      </c>
      <c r="E107" s="2" t="s">
        <v>10</v>
      </c>
      <c r="F107" s="2" t="s">
        <v>11</v>
      </c>
      <c r="G107" s="2">
        <v>135</v>
      </c>
      <c r="H107" s="2">
        <v>525</v>
      </c>
      <c r="I107" s="2">
        <v>156</v>
      </c>
      <c r="J107" s="2">
        <v>-1303</v>
      </c>
      <c r="K107" s="4">
        <v>0.56299999999999994</v>
      </c>
      <c r="L107" s="4">
        <v>0.26300000000000001</v>
      </c>
      <c r="M107" s="2">
        <v>104.6</v>
      </c>
      <c r="N107" s="2">
        <v>97.2</v>
      </c>
      <c r="O107" s="2">
        <v>99.3</v>
      </c>
      <c r="P107" s="2">
        <v>108.6</v>
      </c>
      <c r="Q107" s="4">
        <v>0.55000000000000004</v>
      </c>
      <c r="R107" s="4">
        <v>0.52300000000000002</v>
      </c>
      <c r="S107" s="4">
        <v>0.53400000000000003</v>
      </c>
      <c r="T107" s="4">
        <v>0.56100000000000005</v>
      </c>
      <c r="U107" s="19">
        <f>Table2[[#This Row],[NET PF]]/Table2[[#This Row],[HOME GAMES]]</f>
        <v>-1.962962962962963</v>
      </c>
      <c r="V107" s="28">
        <f>393/Table2[[#This Row],[AWAY GAMES]]</f>
        <v>2.5192307692307692</v>
      </c>
      <c r="W107" s="4">
        <v>0.71299999999999997</v>
      </c>
      <c r="X107" s="4">
        <v>0.72</v>
      </c>
      <c r="Y107" s="2">
        <v>-265</v>
      </c>
      <c r="Z107" s="2">
        <v>269</v>
      </c>
      <c r="AA107" s="8">
        <f>Table2[[#This Row],[HOME MARGIN]]/Table2[[#This Row],[HOME GAMES]]</f>
        <v>3.8888888888888888</v>
      </c>
      <c r="AB107" s="8">
        <f>Table2[[#This Row],[AWAY MARGIN]]/Table2[[#This Row],[AWAY GAMES]]</f>
        <v>-8.3525641025641022</v>
      </c>
      <c r="AC107" s="8">
        <f>Table2[[#This Row],[HOME MARGIN/GAME]]-Table2[[#This Row],[AWAY MARGIN/GAME]]</f>
        <v>12.241452991452991</v>
      </c>
      <c r="AD107" s="23">
        <f>Table2[[#This Row],[HOME W/L%]]-Table2[[#This Row],[AWAY W/L%]]</f>
        <v>0.29999999999999993</v>
      </c>
      <c r="AE107" s="22"/>
      <c r="AF107"/>
    </row>
    <row r="108" spans="1:35" hidden="1" x14ac:dyDescent="0.2">
      <c r="A108" s="1">
        <v>221</v>
      </c>
      <c r="B108" s="1"/>
      <c r="C108" s="2" t="s">
        <v>288</v>
      </c>
      <c r="D108" s="2" t="str">
        <f>IF(COUNTIF($AG$3:$AG$20,C108)&gt;0,$AG$2,
 IF(COUNTIF($AH$3:$AH$20,C108)&gt;0,$AH$2,
 IF(COUNTIF($AI$3:$AI$20,C108)&gt;0,$AI$2,
 IF(COUNTIF($AJ$3:$AJ$20,C108)&gt;0,$AJ$2,
 IF(COUNTIF($AK$3:$AK$20,C108)&gt;0,$AK$2,
 IF(COUNTIF($AL$3:$AL$20,C108)&gt;0,$AL$2,
 IF(COUNTIF($AM$3:$AM$20,C108)&gt;0,$AM$2,"Not Found")))))))</f>
        <v>Not Found</v>
      </c>
      <c r="E108" s="2" t="s">
        <v>10</v>
      </c>
      <c r="F108" s="2" t="s">
        <v>11</v>
      </c>
      <c r="G108" s="2">
        <v>129</v>
      </c>
      <c r="H108" s="2">
        <v>884</v>
      </c>
      <c r="I108" s="2">
        <v>140</v>
      </c>
      <c r="J108" s="2">
        <v>-1132</v>
      </c>
      <c r="K108" s="4">
        <v>0.63600000000000001</v>
      </c>
      <c r="L108" s="4">
        <v>0.27900000000000003</v>
      </c>
      <c r="M108" s="2">
        <v>104.6</v>
      </c>
      <c r="N108" s="2">
        <v>97</v>
      </c>
      <c r="O108" s="2">
        <v>95.2</v>
      </c>
      <c r="P108" s="2">
        <v>108.1</v>
      </c>
      <c r="Q108" s="4">
        <v>0.53700000000000003</v>
      </c>
      <c r="R108" s="4">
        <v>0.502</v>
      </c>
      <c r="S108" s="4">
        <v>0.502</v>
      </c>
      <c r="T108" s="4">
        <v>0.55900000000000005</v>
      </c>
      <c r="U108" s="19">
        <f>Table2[[#This Row],[NET PF]]/Table2[[#This Row],[HOME GAMES]]</f>
        <v>-1.4573643410852712</v>
      </c>
      <c r="V108" s="28">
        <f>393/Table2[[#This Row],[AWAY GAMES]]</f>
        <v>2.8071428571428569</v>
      </c>
      <c r="W108" s="4">
        <v>0.68400000000000005</v>
      </c>
      <c r="X108" s="4">
        <v>0.71199999999999997</v>
      </c>
      <c r="Y108" s="2">
        <v>-188</v>
      </c>
      <c r="Z108" s="2">
        <v>271</v>
      </c>
      <c r="AA108" s="8">
        <f>Table2[[#This Row],[HOME MARGIN]]/Table2[[#This Row],[HOME GAMES]]</f>
        <v>6.8527131782945734</v>
      </c>
      <c r="AB108" s="8">
        <f>Table2[[#This Row],[AWAY MARGIN]]/Table2[[#This Row],[AWAY GAMES]]</f>
        <v>-8.0857142857142854</v>
      </c>
      <c r="AC108" s="8">
        <f>Table2[[#This Row],[HOME MARGIN/GAME]]-Table2[[#This Row],[AWAY MARGIN/GAME]]</f>
        <v>14.938427464008859</v>
      </c>
      <c r="AD108" s="23">
        <f>Table2[[#This Row],[HOME W/L%]]-Table2[[#This Row],[AWAY W/L%]]</f>
        <v>0.35699999999999998</v>
      </c>
      <c r="AE108" s="22"/>
      <c r="AF108" s="18"/>
    </row>
    <row r="109" spans="1:35" hidden="1" x14ac:dyDescent="0.2">
      <c r="A109" s="1">
        <v>352</v>
      </c>
      <c r="B109" s="1"/>
      <c r="C109" s="2" t="s">
        <v>373</v>
      </c>
      <c r="D109" s="2" t="str">
        <f>IF(COUNTIF($AG$3:$AG$20,C109)&gt;0,$AG$2,
 IF(COUNTIF($AH$3:$AH$20,C109)&gt;0,$AH$2,
 IF(COUNTIF($AI$3:$AI$20,C109)&gt;0,$AI$2,
 IF(COUNTIF($AJ$3:$AJ$20,C109)&gt;0,$AJ$2,
 IF(COUNTIF($AK$3:$AK$20,C109)&gt;0,$AK$2,
 IF(COUNTIF($AL$3:$AL$20,C109)&gt;0,$AL$2,
 IF(COUNTIF($AM$3:$AM$20,C109)&gt;0,$AM$2,"Not Found")))))))</f>
        <v>Not Found</v>
      </c>
      <c r="E109" s="2" t="s">
        <v>10</v>
      </c>
      <c r="F109" s="2" t="s">
        <v>113</v>
      </c>
      <c r="G109" s="2">
        <v>108</v>
      </c>
      <c r="H109" s="2">
        <v>59</v>
      </c>
      <c r="I109" s="2">
        <v>114</v>
      </c>
      <c r="J109" s="2">
        <v>-707</v>
      </c>
      <c r="K109" s="4">
        <v>0.49099999999999999</v>
      </c>
      <c r="L109" s="4">
        <v>0.36799999999999999</v>
      </c>
      <c r="M109" s="2">
        <v>99.7</v>
      </c>
      <c r="N109" s="2">
        <v>96.5</v>
      </c>
      <c r="O109" s="2">
        <v>98.9</v>
      </c>
      <c r="P109" s="2">
        <v>105.3</v>
      </c>
      <c r="Q109" s="4">
        <v>0.54100000000000004</v>
      </c>
      <c r="R109" s="4">
        <v>0.52900000000000003</v>
      </c>
      <c r="S109" s="4">
        <v>0.52700000000000002</v>
      </c>
      <c r="T109" s="4">
        <v>0.54400000000000004</v>
      </c>
      <c r="U109" s="19">
        <f>Table2[[#This Row],[NET PF]]/Table2[[#This Row],[HOME GAMES]]</f>
        <v>0.10185185185185185</v>
      </c>
      <c r="V109" s="28">
        <f>393/Table2[[#This Row],[AWAY GAMES]]</f>
        <v>3.4473684210526314</v>
      </c>
      <c r="W109" s="4">
        <v>0.67400000000000004</v>
      </c>
      <c r="X109" s="4">
        <v>0.70399999999999996</v>
      </c>
      <c r="Y109" s="2">
        <v>11</v>
      </c>
      <c r="Z109" s="2">
        <v>126</v>
      </c>
      <c r="AA109" s="8">
        <f>Table2[[#This Row],[HOME MARGIN]]/Table2[[#This Row],[HOME GAMES]]</f>
        <v>0.54629629629629628</v>
      </c>
      <c r="AB109" s="8">
        <f>Table2[[#This Row],[AWAY MARGIN]]/Table2[[#This Row],[AWAY GAMES]]</f>
        <v>-6.2017543859649127</v>
      </c>
      <c r="AC109" s="8">
        <f>Table2[[#This Row],[HOME MARGIN/GAME]]-Table2[[#This Row],[AWAY MARGIN/GAME]]</f>
        <v>6.7480506822612085</v>
      </c>
      <c r="AD109" s="23">
        <f>Table2[[#This Row],[HOME W/L%]]-Table2[[#This Row],[AWAY W/L%]]</f>
        <v>0.123</v>
      </c>
      <c r="AE109" s="22"/>
      <c r="AF109"/>
    </row>
    <row r="110" spans="1:35" hidden="1" x14ac:dyDescent="0.2">
      <c r="A110" s="1">
        <v>254</v>
      </c>
      <c r="B110" s="1"/>
      <c r="C110" s="2" t="s">
        <v>100</v>
      </c>
      <c r="D110" s="2" t="str">
        <f>IF(COUNTIF($AG$3:$AG$20,C110)&gt;0,$AG$2,
 IF(COUNTIF($AH$3:$AH$20,C110)&gt;0,$AH$2,
 IF(COUNTIF($AI$3:$AI$20,C110)&gt;0,$AI$2,
 IF(COUNTIF($AJ$3:$AJ$20,C110)&gt;0,$AJ$2,
 IF(COUNTIF($AK$3:$AK$20,C110)&gt;0,$AK$2,
 IF(COUNTIF($AL$3:$AL$20,C110)&gt;0,$AL$2,
 IF(COUNTIF($AM$3:$AM$20,C110)&gt;0,$AM$2,"Not Found")))))))</f>
        <v>Not Found</v>
      </c>
      <c r="E110" s="2" t="s">
        <v>10</v>
      </c>
      <c r="F110" s="2" t="s">
        <v>11</v>
      </c>
      <c r="G110" s="2">
        <v>115</v>
      </c>
      <c r="H110" s="2">
        <v>716</v>
      </c>
      <c r="I110" s="2">
        <v>123</v>
      </c>
      <c r="J110" s="2">
        <v>-252</v>
      </c>
      <c r="K110" s="4">
        <v>0.68700000000000006</v>
      </c>
      <c r="L110" s="4">
        <v>0.44700000000000001</v>
      </c>
      <c r="M110" s="2">
        <v>102.9</v>
      </c>
      <c r="N110" s="2">
        <v>98.7</v>
      </c>
      <c r="O110" s="2">
        <v>93.9</v>
      </c>
      <c r="P110" s="2">
        <v>101.6</v>
      </c>
      <c r="Q110" s="4">
        <v>0.55100000000000005</v>
      </c>
      <c r="R110" s="4">
        <v>0.53100000000000003</v>
      </c>
      <c r="S110" s="4">
        <v>0.503</v>
      </c>
      <c r="T110" s="4">
        <v>0.53700000000000003</v>
      </c>
      <c r="U110" s="19">
        <f>Table2[[#This Row],[NET PF]]/Table2[[#This Row],[HOME GAMES]]</f>
        <v>-1.1478260869565218</v>
      </c>
      <c r="V110" s="28">
        <f>393/Table2[[#This Row],[AWAY GAMES]]</f>
        <v>3.1951219512195124</v>
      </c>
      <c r="W110" s="4">
        <v>0.70899999999999996</v>
      </c>
      <c r="X110" s="4">
        <v>0.72399999999999998</v>
      </c>
      <c r="Y110" s="2">
        <v>-132</v>
      </c>
      <c r="Z110" s="2">
        <v>11</v>
      </c>
      <c r="AA110" s="8">
        <f>Table2[[#This Row],[HOME MARGIN]]/Table2[[#This Row],[HOME GAMES]]</f>
        <v>6.2260869565217387</v>
      </c>
      <c r="AB110" s="8">
        <f>Table2[[#This Row],[AWAY MARGIN]]/Table2[[#This Row],[AWAY GAMES]]</f>
        <v>-2.0487804878048781</v>
      </c>
      <c r="AC110" s="8">
        <f>Table2[[#This Row],[HOME MARGIN/GAME]]-Table2[[#This Row],[AWAY MARGIN/GAME]]</f>
        <v>8.2748674443266168</v>
      </c>
      <c r="AD110" s="23">
        <f>Table2[[#This Row],[HOME W/L%]]-Table2[[#This Row],[AWAY W/L%]]</f>
        <v>0.24000000000000005</v>
      </c>
      <c r="AE110" s="22"/>
      <c r="AF110" s="16"/>
      <c r="AG110" s="43" t="s">
        <v>408</v>
      </c>
      <c r="AH110" s="43"/>
      <c r="AI110" s="43"/>
    </row>
    <row r="111" spans="1:35" hidden="1" x14ac:dyDescent="0.2">
      <c r="A111" s="1">
        <v>177</v>
      </c>
      <c r="B111" s="1"/>
      <c r="C111" s="2" t="s">
        <v>83</v>
      </c>
      <c r="D111" s="2" t="str">
        <f>IF(COUNTIF($AG$3:$AG$20,C111)&gt;0,$AG$2,
 IF(COUNTIF($AH$3:$AH$20,C111)&gt;0,$AH$2,
 IF(COUNTIF($AI$3:$AI$20,C111)&gt;0,$AI$2,
 IF(COUNTIF($AJ$3:$AJ$20,C111)&gt;0,$AJ$2,
 IF(COUNTIF($AK$3:$AK$20,C111)&gt;0,$AK$2,
 IF(COUNTIF($AL$3:$AL$20,C111)&gt;0,$AL$2,
 IF(COUNTIF($AM$3:$AM$20,C111)&gt;0,$AM$2,"Not Found")))))))</f>
        <v>Not Found</v>
      </c>
      <c r="E111" s="2" t="s">
        <v>10</v>
      </c>
      <c r="F111" s="2" t="s">
        <v>11</v>
      </c>
      <c r="G111" s="2">
        <v>178</v>
      </c>
      <c r="H111" s="2">
        <v>1098</v>
      </c>
      <c r="I111" s="2">
        <v>94</v>
      </c>
      <c r="J111" s="2">
        <v>-173</v>
      </c>
      <c r="K111" s="4">
        <v>0.68500000000000005</v>
      </c>
      <c r="L111" s="4">
        <v>0.44700000000000001</v>
      </c>
      <c r="M111" s="2">
        <v>103</v>
      </c>
      <c r="N111" s="2">
        <v>100.8</v>
      </c>
      <c r="O111" s="2">
        <v>94.1</v>
      </c>
      <c r="P111" s="2">
        <v>103.4</v>
      </c>
      <c r="Q111" s="4">
        <v>0.54900000000000004</v>
      </c>
      <c r="R111" s="4">
        <v>0.53800000000000003</v>
      </c>
      <c r="S111" s="4">
        <v>0.50700000000000001</v>
      </c>
      <c r="T111" s="4">
        <v>0.54300000000000004</v>
      </c>
      <c r="U111" s="19">
        <f>Table2[[#This Row],[NET PF]]/Table2[[#This Row],[HOME GAMES]]</f>
        <v>-2.3258426966292136</v>
      </c>
      <c r="V111" s="28">
        <f>393/Table2[[#This Row],[AWAY GAMES]]</f>
        <v>4.1808510638297873</v>
      </c>
      <c r="W111" s="4">
        <v>0.70099999999999996</v>
      </c>
      <c r="X111" s="4">
        <v>0.73599999999999999</v>
      </c>
      <c r="Y111" s="2">
        <v>-414</v>
      </c>
      <c r="Z111" s="2">
        <v>28</v>
      </c>
      <c r="AA111" s="8">
        <f>Table2[[#This Row],[HOME MARGIN]]/Table2[[#This Row],[HOME GAMES]]</f>
        <v>6.1685393258426968</v>
      </c>
      <c r="AB111" s="8">
        <f>Table2[[#This Row],[AWAY MARGIN]]/Table2[[#This Row],[AWAY GAMES]]</f>
        <v>-1.8404255319148937</v>
      </c>
      <c r="AC111" s="8">
        <f>Table2[[#This Row],[HOME MARGIN/GAME]]-Table2[[#This Row],[AWAY MARGIN/GAME]]</f>
        <v>8.00896485775759</v>
      </c>
      <c r="AD111" s="23">
        <f>Table2[[#This Row],[HOME W/L%]]-Table2[[#This Row],[AWAY W/L%]]</f>
        <v>0.23800000000000004</v>
      </c>
      <c r="AE111" s="22"/>
      <c r="AF111" s="15"/>
    </row>
    <row r="112" spans="1:35" hidden="1" x14ac:dyDescent="0.2">
      <c r="A112" s="1">
        <v>120</v>
      </c>
      <c r="B112" s="1"/>
      <c r="C112" s="2" t="s">
        <v>209</v>
      </c>
      <c r="D112" s="2" t="str">
        <f>IF(COUNTIF($AG$3:$AG$20,C112)&gt;0,$AG$2,
 IF(COUNTIF($AH$3:$AH$20,C112)&gt;0,$AH$2,
 IF(COUNTIF($AI$3:$AI$20,C112)&gt;0,$AI$2,
 IF(COUNTIF($AJ$3:$AJ$20,C112)&gt;0,$AJ$2,
 IF(COUNTIF($AK$3:$AK$20,C112)&gt;0,$AK$2,
 IF(COUNTIF($AL$3:$AL$20,C112)&gt;0,$AL$2,
 IF(COUNTIF($AM$3:$AM$20,C112)&gt;0,$AM$2,"Not Found")))))))</f>
        <v>Not Found</v>
      </c>
      <c r="E112" s="2" t="s">
        <v>10</v>
      </c>
      <c r="F112" s="2" t="s">
        <v>11</v>
      </c>
      <c r="G112" s="2">
        <v>146</v>
      </c>
      <c r="H112" s="2">
        <v>1397</v>
      </c>
      <c r="I112" s="2">
        <v>132</v>
      </c>
      <c r="J112" s="2">
        <v>-626</v>
      </c>
      <c r="K112" s="4">
        <v>0.69199999999999995</v>
      </c>
      <c r="L112" s="4">
        <v>0.371</v>
      </c>
      <c r="M112" s="2">
        <v>110</v>
      </c>
      <c r="N112" s="2">
        <v>100.5</v>
      </c>
      <c r="O112" s="2">
        <v>96.4</v>
      </c>
      <c r="P112" s="2">
        <v>107.4</v>
      </c>
      <c r="Q112" s="4">
        <v>0.56499999999999995</v>
      </c>
      <c r="R112" s="4">
        <v>0.52600000000000002</v>
      </c>
      <c r="S112" s="4">
        <v>0.51600000000000001</v>
      </c>
      <c r="T112" s="4">
        <v>0.56100000000000005</v>
      </c>
      <c r="U112" s="19">
        <f>Table2[[#This Row],[NET PF]]/Table2[[#This Row],[HOME GAMES]]</f>
        <v>-1.8424657534246576</v>
      </c>
      <c r="V112" s="28">
        <f>393/Table2[[#This Row],[AWAY GAMES]]</f>
        <v>2.9772727272727271</v>
      </c>
      <c r="W112" s="4">
        <v>0.68600000000000005</v>
      </c>
      <c r="X112" s="4">
        <v>0.69499999999999995</v>
      </c>
      <c r="Y112" s="2">
        <v>-269</v>
      </c>
      <c r="Z112" s="2">
        <v>-2</v>
      </c>
      <c r="AA112" s="8">
        <f>Table2[[#This Row],[HOME MARGIN]]/Table2[[#This Row],[HOME GAMES]]</f>
        <v>9.5684931506849313</v>
      </c>
      <c r="AB112" s="8">
        <f>Table2[[#This Row],[AWAY MARGIN]]/Table2[[#This Row],[AWAY GAMES]]</f>
        <v>-4.7424242424242422</v>
      </c>
      <c r="AC112" s="8">
        <f>Table2[[#This Row],[HOME MARGIN/GAME]]-Table2[[#This Row],[AWAY MARGIN/GAME]]</f>
        <v>14.310917393109174</v>
      </c>
      <c r="AD112" s="23">
        <f>Table2[[#This Row],[HOME W/L%]]-Table2[[#This Row],[AWAY W/L%]]</f>
        <v>0.32099999999999995</v>
      </c>
      <c r="AE112" s="22"/>
      <c r="AF112" s="15"/>
    </row>
    <row r="113" spans="1:32" hidden="1" x14ac:dyDescent="0.2">
      <c r="A113" s="1">
        <v>140</v>
      </c>
      <c r="B113" s="1"/>
      <c r="C113" s="2" t="s">
        <v>30</v>
      </c>
      <c r="D113" s="2" t="str">
        <f>IF(COUNTIF($AG$3:$AG$20,C113)&gt;0,$AG$2,
 IF(COUNTIF($AH$3:$AH$20,C113)&gt;0,$AH$2,
 IF(COUNTIF($AI$3:$AI$20,C113)&gt;0,$AI$2,
 IF(COUNTIF($AJ$3:$AJ$20,C113)&gt;0,$AJ$2,
 IF(COUNTIF($AK$3:$AK$20,C113)&gt;0,$AK$2,
 IF(COUNTIF($AL$3:$AL$20,C113)&gt;0,$AL$2,
 IF(COUNTIF($AM$3:$AM$20,C113)&gt;0,$AM$2,"Not Found")))))))</f>
        <v>Not Found</v>
      </c>
      <c r="E113" s="2" t="s">
        <v>10</v>
      </c>
      <c r="F113" s="2" t="s">
        <v>11</v>
      </c>
      <c r="G113" s="2">
        <v>132</v>
      </c>
      <c r="H113" s="2">
        <v>1318</v>
      </c>
      <c r="I113" s="2">
        <v>140</v>
      </c>
      <c r="J113" s="2">
        <v>216</v>
      </c>
      <c r="K113" s="4">
        <v>0.75</v>
      </c>
      <c r="L113" s="4">
        <v>0.55700000000000005</v>
      </c>
      <c r="M113" s="2">
        <v>112.7</v>
      </c>
      <c r="N113" s="2">
        <v>106.2</v>
      </c>
      <c r="O113" s="2">
        <v>98.5</v>
      </c>
      <c r="P113" s="2">
        <v>104</v>
      </c>
      <c r="Q113" s="4">
        <v>0.57199999999999995</v>
      </c>
      <c r="R113" s="4">
        <v>0.55800000000000005</v>
      </c>
      <c r="S113" s="4">
        <v>0.52400000000000002</v>
      </c>
      <c r="T113" s="4">
        <v>0.53500000000000003</v>
      </c>
      <c r="U113" s="19">
        <f>Table2[[#This Row],[NET PF]]/Table2[[#This Row],[HOME GAMES]]</f>
        <v>-2.4318181818181817</v>
      </c>
      <c r="V113" s="28">
        <f>393/Table2[[#This Row],[AWAY GAMES]]</f>
        <v>2.8071428571428569</v>
      </c>
      <c r="W113" s="4">
        <v>0.71099999999999997</v>
      </c>
      <c r="X113" s="4">
        <v>0.71699999999999997</v>
      </c>
      <c r="Y113" s="2">
        <v>-321</v>
      </c>
      <c r="Z113" s="2">
        <v>-126</v>
      </c>
      <c r="AA113" s="8">
        <f>Table2[[#This Row],[HOME MARGIN]]/Table2[[#This Row],[HOME GAMES]]</f>
        <v>9.9848484848484844</v>
      </c>
      <c r="AB113" s="8">
        <f>Table2[[#This Row],[AWAY MARGIN]]/Table2[[#This Row],[AWAY GAMES]]</f>
        <v>1.5428571428571429</v>
      </c>
      <c r="AC113" s="8">
        <f>Table2[[#This Row],[HOME MARGIN/GAME]]-Table2[[#This Row],[AWAY MARGIN/GAME]]</f>
        <v>8.4419913419913417</v>
      </c>
      <c r="AD113" s="23">
        <f>Table2[[#This Row],[HOME W/L%]]-Table2[[#This Row],[AWAY W/L%]]</f>
        <v>0.19299999999999995</v>
      </c>
      <c r="AE113" s="22"/>
      <c r="AF113" s="15"/>
    </row>
    <row r="114" spans="1:32" hidden="1" x14ac:dyDescent="0.2">
      <c r="A114" s="1">
        <v>365</v>
      </c>
      <c r="B114" s="1"/>
      <c r="C114" s="2" t="s">
        <v>265</v>
      </c>
      <c r="D114" s="2" t="str">
        <f>IF(COUNTIF($AG$3:$AG$20,C114)&gt;0,$AG$2,
 IF(COUNTIF($AH$3:$AH$20,C114)&gt;0,$AH$2,
 IF(COUNTIF($AI$3:$AI$20,C114)&gt;0,$AI$2,
 IF(COUNTIF($AJ$3:$AJ$20,C114)&gt;0,$AJ$2,
 IF(COUNTIF($AK$3:$AK$20,C114)&gt;0,$AK$2,
 IF(COUNTIF($AL$3:$AL$20,C114)&gt;0,$AL$2,
 IF(COUNTIF($AM$3:$AM$20,C114)&gt;0,$AM$2,"Not Found")))))))</f>
        <v>Not Found</v>
      </c>
      <c r="E114" s="2" t="s">
        <v>10</v>
      </c>
      <c r="F114" s="2" t="s">
        <v>11</v>
      </c>
      <c r="G114" s="2">
        <v>132</v>
      </c>
      <c r="H114" s="2">
        <v>-269</v>
      </c>
      <c r="I114" s="2">
        <v>145</v>
      </c>
      <c r="J114" s="2">
        <v>-1306</v>
      </c>
      <c r="K114" s="4">
        <v>0.439</v>
      </c>
      <c r="L114" s="4">
        <v>0.255</v>
      </c>
      <c r="M114" s="2">
        <v>99.2</v>
      </c>
      <c r="N114" s="2">
        <v>95.7</v>
      </c>
      <c r="O114" s="2">
        <v>102.2</v>
      </c>
      <c r="P114" s="2">
        <v>109.1</v>
      </c>
      <c r="Q114" s="4">
        <v>0.53200000000000003</v>
      </c>
      <c r="R114" s="4">
        <v>0.52100000000000002</v>
      </c>
      <c r="S114" s="4">
        <v>0.54500000000000004</v>
      </c>
      <c r="T114" s="4">
        <v>0.56799999999999995</v>
      </c>
      <c r="U114" s="19">
        <f>Table2[[#This Row],[NET PF]]/Table2[[#This Row],[HOME GAMES]]</f>
        <v>-6.0606060606060608E-2</v>
      </c>
      <c r="V114" s="28">
        <f>393/Table2[[#This Row],[AWAY GAMES]]</f>
        <v>2.7103448275862068</v>
      </c>
      <c r="W114" s="4">
        <v>0.69699999999999995</v>
      </c>
      <c r="X114" s="4">
        <v>0.71399999999999997</v>
      </c>
      <c r="Y114" s="2">
        <v>-8</v>
      </c>
      <c r="Z114" s="2">
        <v>248</v>
      </c>
      <c r="AA114" s="8">
        <f>Table2[[#This Row],[HOME MARGIN]]/Table2[[#This Row],[HOME GAMES]]</f>
        <v>-2.0378787878787881</v>
      </c>
      <c r="AB114" s="8">
        <f>Table2[[#This Row],[AWAY MARGIN]]/Table2[[#This Row],[AWAY GAMES]]</f>
        <v>-9.0068965517241377</v>
      </c>
      <c r="AC114" s="8">
        <f>Table2[[#This Row],[HOME MARGIN/GAME]]-Table2[[#This Row],[AWAY MARGIN/GAME]]</f>
        <v>6.9690177638453497</v>
      </c>
      <c r="AD114" s="23">
        <f>Table2[[#This Row],[HOME W/L%]]-Table2[[#This Row],[AWAY W/L%]]</f>
        <v>0.184</v>
      </c>
      <c r="AE114" s="22"/>
      <c r="AF114" s="15"/>
    </row>
    <row r="115" spans="1:32" x14ac:dyDescent="0.2">
      <c r="A115" s="1">
        <v>2</v>
      </c>
      <c r="B115" s="17">
        <v>2</v>
      </c>
      <c r="C115" s="37" t="s">
        <v>13</v>
      </c>
      <c r="D115" s="2" t="str">
        <f>IF(COUNTIF($AG$3:$AG$20,C115)&gt;0,$AG$2,
 IF(COUNTIF($AH$3:$AH$20,C115)&gt;0,$AH$2,
 IF(COUNTIF($AI$3:$AI$20,C115)&gt;0,$AI$2,
 IF(COUNTIF($AJ$3:$AJ$20,C115)&gt;0,$AJ$2,
 IF(COUNTIF($AK$3:$AK$20,C115)&gt;0,$AK$2,
 IF(COUNTIF($AL$3:$AL$20,C115)&gt;0,$AL$2,
 IF(COUNTIF($AM$3:$AM$20,C115)&gt;0,$AM$2,"Not Found")))))))</f>
        <v>Big 12</v>
      </c>
      <c r="E115" s="2" t="s">
        <v>10</v>
      </c>
      <c r="F115" s="2" t="s">
        <v>11</v>
      </c>
      <c r="G115" s="2">
        <v>169</v>
      </c>
      <c r="H115" s="2">
        <v>3414</v>
      </c>
      <c r="I115" s="2">
        <v>104</v>
      </c>
      <c r="J115" s="2">
        <v>697</v>
      </c>
      <c r="K115" s="4">
        <v>0.91700000000000004</v>
      </c>
      <c r="L115" s="4">
        <v>0.71199999999999997</v>
      </c>
      <c r="M115" s="2">
        <v>114.6</v>
      </c>
      <c r="N115" s="2">
        <v>108.4</v>
      </c>
      <c r="O115" s="2">
        <v>84.9</v>
      </c>
      <c r="P115" s="2">
        <v>98.4</v>
      </c>
      <c r="Q115" s="4">
        <v>0.55800000000000005</v>
      </c>
      <c r="R115" s="4">
        <v>0.54100000000000004</v>
      </c>
      <c r="S115" s="4">
        <v>0.46500000000000002</v>
      </c>
      <c r="T115" s="4">
        <v>0.51900000000000002</v>
      </c>
      <c r="U115" s="19">
        <f>Table2[[#This Row],[NET PF]]/Table2[[#This Row],[HOME GAMES]]</f>
        <v>-0.378698224852071</v>
      </c>
      <c r="V115" s="28">
        <f>393/Table2[[#This Row],[AWAY GAMES]]</f>
        <v>3.7788461538461537</v>
      </c>
      <c r="W115" s="4">
        <v>0.67500000000000004</v>
      </c>
      <c r="X115" s="4">
        <v>0.71499999999999997</v>
      </c>
      <c r="Y115" s="2">
        <v>-64</v>
      </c>
      <c r="Z115" s="2">
        <v>281</v>
      </c>
      <c r="AA115" s="8">
        <f>Table2[[#This Row],[HOME MARGIN]]/Table2[[#This Row],[HOME GAMES]]</f>
        <v>20.201183431952664</v>
      </c>
      <c r="AB115" s="8">
        <f>Table2[[#This Row],[AWAY MARGIN]]/Table2[[#This Row],[AWAY GAMES]]</f>
        <v>6.7019230769230766</v>
      </c>
      <c r="AC115" s="8">
        <f>Table2[[#This Row],[HOME MARGIN/GAME]]-Table2[[#This Row],[AWAY MARGIN/GAME]]</f>
        <v>13.499260355029588</v>
      </c>
      <c r="AD115" s="23">
        <f>Table2[[#This Row],[HOME W/L%]]-Table2[[#This Row],[AWAY W/L%]]</f>
        <v>0.20500000000000007</v>
      </c>
      <c r="AE115" s="22"/>
      <c r="AF115"/>
    </row>
    <row r="116" spans="1:32" hidden="1" x14ac:dyDescent="0.2">
      <c r="A116" s="1">
        <v>251</v>
      </c>
      <c r="B116" s="1"/>
      <c r="C116" s="2" t="s">
        <v>228</v>
      </c>
      <c r="D116" s="2" t="str">
        <f>IF(COUNTIF($AG$3:$AG$20,C116)&gt;0,$AG$2,
 IF(COUNTIF($AH$3:$AH$20,C116)&gt;0,$AH$2,
 IF(COUNTIF($AI$3:$AI$20,C116)&gt;0,$AI$2,
 IF(COUNTIF($AJ$3:$AJ$20,C116)&gt;0,$AJ$2,
 IF(COUNTIF($AK$3:$AK$20,C116)&gt;0,$AK$2,
 IF(COUNTIF($AL$3:$AL$20,C116)&gt;0,$AL$2,
 IF(COUNTIF($AM$3:$AM$20,C116)&gt;0,$AM$2,"Not Found")))))))</f>
        <v>Not Found</v>
      </c>
      <c r="E116" s="2" t="s">
        <v>10</v>
      </c>
      <c r="F116" s="2" t="s">
        <v>11</v>
      </c>
      <c r="G116" s="2">
        <v>133</v>
      </c>
      <c r="H116" s="2">
        <v>728</v>
      </c>
      <c r="I116" s="2">
        <v>150</v>
      </c>
      <c r="J116" s="2">
        <v>-2005</v>
      </c>
      <c r="K116" s="4">
        <v>0.54900000000000004</v>
      </c>
      <c r="L116" s="4">
        <v>0.16700000000000001</v>
      </c>
      <c r="M116" s="2">
        <v>109.5</v>
      </c>
      <c r="N116" s="2">
        <v>94.4</v>
      </c>
      <c r="O116" s="2">
        <v>102.3</v>
      </c>
      <c r="P116" s="2">
        <v>112.5</v>
      </c>
      <c r="Q116" s="4">
        <v>0.56999999999999995</v>
      </c>
      <c r="R116" s="4">
        <v>0.50800000000000001</v>
      </c>
      <c r="S116" s="4">
        <v>0.55200000000000005</v>
      </c>
      <c r="T116" s="4">
        <v>0.58599999999999997</v>
      </c>
      <c r="U116" s="19">
        <f>Table2[[#This Row],[NET PF]]/Table2[[#This Row],[HOME GAMES]]</f>
        <v>-3.2330827067669174</v>
      </c>
      <c r="V116" s="28">
        <f>393/Table2[[#This Row],[AWAY GAMES]]</f>
        <v>2.62</v>
      </c>
      <c r="W116" s="4">
        <v>0.73799999999999999</v>
      </c>
      <c r="X116" s="4">
        <v>0.72599999999999998</v>
      </c>
      <c r="Y116" s="2">
        <v>-430</v>
      </c>
      <c r="Z116" s="2">
        <v>8</v>
      </c>
      <c r="AA116" s="8">
        <f>Table2[[#This Row],[HOME MARGIN]]/Table2[[#This Row],[HOME GAMES]]</f>
        <v>5.4736842105263159</v>
      </c>
      <c r="AB116" s="8">
        <f>Table2[[#This Row],[AWAY MARGIN]]/Table2[[#This Row],[AWAY GAMES]]</f>
        <v>-13.366666666666667</v>
      </c>
      <c r="AC116" s="8">
        <f>Table2[[#This Row],[HOME MARGIN/GAME]]-Table2[[#This Row],[AWAY MARGIN/GAME]]</f>
        <v>18.840350877192982</v>
      </c>
      <c r="AD116" s="23">
        <f>Table2[[#This Row],[HOME W/L%]]-Table2[[#This Row],[AWAY W/L%]]</f>
        <v>0.38200000000000001</v>
      </c>
      <c r="AE116" s="22"/>
      <c r="AF116"/>
    </row>
    <row r="117" spans="1:32" hidden="1" x14ac:dyDescent="0.2">
      <c r="A117" s="1">
        <v>258</v>
      </c>
      <c r="B117" s="1"/>
      <c r="C117" s="2" t="s">
        <v>256</v>
      </c>
      <c r="D117" s="2" t="str">
        <f>IF(COUNTIF($AG$3:$AG$20,C117)&gt;0,$AG$2,
 IF(COUNTIF($AH$3:$AH$20,C117)&gt;0,$AH$2,
 IF(COUNTIF($AI$3:$AI$20,C117)&gt;0,$AI$2,
 IF(COUNTIF($AJ$3:$AJ$20,C117)&gt;0,$AJ$2,
 IF(COUNTIF($AK$3:$AK$20,C117)&gt;0,$AK$2,
 IF(COUNTIF($AL$3:$AL$20,C117)&gt;0,$AL$2,
 IF(COUNTIF($AM$3:$AM$20,C117)&gt;0,$AM$2,"Not Found")))))))</f>
        <v>Not Found</v>
      </c>
      <c r="E117" s="2" t="s">
        <v>10</v>
      </c>
      <c r="F117" s="2" t="s">
        <v>11</v>
      </c>
      <c r="G117" s="2">
        <v>123</v>
      </c>
      <c r="H117" s="2">
        <v>712</v>
      </c>
      <c r="I117" s="2">
        <v>139</v>
      </c>
      <c r="J117" s="2">
        <v>-1427</v>
      </c>
      <c r="K117" s="4">
        <v>0.55300000000000005</v>
      </c>
      <c r="L117" s="4">
        <v>0.25900000000000001</v>
      </c>
      <c r="M117" s="2">
        <v>105.4</v>
      </c>
      <c r="N117" s="2">
        <v>94.5</v>
      </c>
      <c r="O117" s="2">
        <v>97.7</v>
      </c>
      <c r="P117" s="2">
        <v>108.6</v>
      </c>
      <c r="Q117" s="4">
        <v>0.55900000000000005</v>
      </c>
      <c r="R117" s="4">
        <v>0.51</v>
      </c>
      <c r="S117" s="4">
        <v>0.52500000000000002</v>
      </c>
      <c r="T117" s="4">
        <v>0.55900000000000005</v>
      </c>
      <c r="U117" s="19">
        <f>Table2[[#This Row],[NET PF]]/Table2[[#This Row],[HOME GAMES]]</f>
        <v>-2.2764227642276422</v>
      </c>
      <c r="V117" s="28">
        <f>393/Table2[[#This Row],[AWAY GAMES]]</f>
        <v>2.8273381294964031</v>
      </c>
      <c r="W117" s="4">
        <v>0.7</v>
      </c>
      <c r="X117" s="4">
        <v>0.71399999999999997</v>
      </c>
      <c r="Y117" s="2">
        <v>-280</v>
      </c>
      <c r="Z117" s="2">
        <v>182</v>
      </c>
      <c r="AA117" s="8">
        <f>Table2[[#This Row],[HOME MARGIN]]/Table2[[#This Row],[HOME GAMES]]</f>
        <v>5.7886178861788622</v>
      </c>
      <c r="AB117" s="8">
        <f>Table2[[#This Row],[AWAY MARGIN]]/Table2[[#This Row],[AWAY GAMES]]</f>
        <v>-10.266187050359711</v>
      </c>
      <c r="AC117" s="8">
        <f>Table2[[#This Row],[HOME MARGIN/GAME]]-Table2[[#This Row],[AWAY MARGIN/GAME]]</f>
        <v>16.054804936538574</v>
      </c>
      <c r="AD117" s="23">
        <f>Table2[[#This Row],[HOME W/L%]]-Table2[[#This Row],[AWAY W/L%]]</f>
        <v>0.29400000000000004</v>
      </c>
      <c r="AE117" s="22"/>
      <c r="AF117"/>
    </row>
    <row r="118" spans="1:32" hidden="1" x14ac:dyDescent="0.2">
      <c r="A118" s="1">
        <v>327</v>
      </c>
      <c r="B118" s="1"/>
      <c r="C118" s="2" t="s">
        <v>311</v>
      </c>
      <c r="D118" s="2" t="str">
        <f>IF(COUNTIF($AG$3:$AG$20,C118)&gt;0,$AG$2,
 IF(COUNTIF($AH$3:$AH$20,C118)&gt;0,$AH$2,
 IF(COUNTIF($AI$3:$AI$20,C118)&gt;0,$AI$2,
 IF(COUNTIF($AJ$3:$AJ$20,C118)&gt;0,$AJ$2,
 IF(COUNTIF($AK$3:$AK$20,C118)&gt;0,$AK$2,
 IF(COUNTIF($AL$3:$AL$20,C118)&gt;0,$AL$2,
 IF(COUNTIF($AM$3:$AM$20,C118)&gt;0,$AM$2,"Not Found")))))))</f>
        <v>Not Found</v>
      </c>
      <c r="E118" s="2" t="s">
        <v>10</v>
      </c>
      <c r="F118" s="2" t="s">
        <v>11</v>
      </c>
      <c r="G118" s="2">
        <v>143</v>
      </c>
      <c r="H118" s="2">
        <v>272</v>
      </c>
      <c r="I118" s="2">
        <v>139</v>
      </c>
      <c r="J118" s="2">
        <v>-998</v>
      </c>
      <c r="K118" s="4">
        <v>0.497</v>
      </c>
      <c r="L118" s="4">
        <v>0.28799999999999998</v>
      </c>
      <c r="M118" s="2">
        <v>104.4</v>
      </c>
      <c r="N118" s="2">
        <v>98.7</v>
      </c>
      <c r="O118" s="2">
        <v>101.7</v>
      </c>
      <c r="P118" s="2">
        <v>109.2</v>
      </c>
      <c r="Q118" s="4">
        <v>0.55700000000000005</v>
      </c>
      <c r="R118" s="4">
        <v>0.54</v>
      </c>
      <c r="S118" s="4">
        <v>0.53700000000000003</v>
      </c>
      <c r="T118" s="4">
        <v>0.56499999999999995</v>
      </c>
      <c r="U118" s="19">
        <f>Table2[[#This Row],[NET PF]]/Table2[[#This Row],[HOME GAMES]]</f>
        <v>-0.34265734265734266</v>
      </c>
      <c r="V118" s="28">
        <f>393/Table2[[#This Row],[AWAY GAMES]]</f>
        <v>2.8273381294964031</v>
      </c>
      <c r="W118" s="4">
        <v>0.71399999999999997</v>
      </c>
      <c r="X118" s="4">
        <v>0.70399999999999996</v>
      </c>
      <c r="Y118" s="2">
        <v>-49</v>
      </c>
      <c r="Z118" s="2">
        <v>247</v>
      </c>
      <c r="AA118" s="8">
        <f>Table2[[#This Row],[HOME MARGIN]]/Table2[[#This Row],[HOME GAMES]]</f>
        <v>1.9020979020979021</v>
      </c>
      <c r="AB118" s="8">
        <f>Table2[[#This Row],[AWAY MARGIN]]/Table2[[#This Row],[AWAY GAMES]]</f>
        <v>-7.1798561151079134</v>
      </c>
      <c r="AC118" s="8">
        <f>Table2[[#This Row],[HOME MARGIN/GAME]]-Table2[[#This Row],[AWAY MARGIN/GAME]]</f>
        <v>9.0819540172058151</v>
      </c>
      <c r="AD118" s="23">
        <f>Table2[[#This Row],[HOME W/L%]]-Table2[[#This Row],[AWAY W/L%]]</f>
        <v>0.20900000000000002</v>
      </c>
      <c r="AE118" s="22"/>
      <c r="AF118"/>
    </row>
    <row r="119" spans="1:32" hidden="1" x14ac:dyDescent="0.2">
      <c r="A119" s="1">
        <v>252</v>
      </c>
      <c r="B119" s="1"/>
      <c r="C119" s="2" t="s">
        <v>278</v>
      </c>
      <c r="D119" s="2" t="str">
        <f>IF(COUNTIF($AG$3:$AG$20,C119)&gt;0,$AG$2,
 IF(COUNTIF($AH$3:$AH$20,C119)&gt;0,$AH$2,
 IF(COUNTIF($AI$3:$AI$20,C119)&gt;0,$AI$2,
 IF(COUNTIF($AJ$3:$AJ$20,C119)&gt;0,$AJ$2,
 IF(COUNTIF($AK$3:$AK$20,C119)&gt;0,$AK$2,
 IF(COUNTIF($AL$3:$AL$20,C119)&gt;0,$AL$2,
 IF(COUNTIF($AM$3:$AM$20,C119)&gt;0,$AM$2,"Not Found")))))))</f>
        <v>Not Found</v>
      </c>
      <c r="E119" s="2" t="s">
        <v>10</v>
      </c>
      <c r="F119" s="2" t="s">
        <v>11</v>
      </c>
      <c r="G119" s="2">
        <v>129</v>
      </c>
      <c r="H119" s="2">
        <v>720</v>
      </c>
      <c r="I119" s="2">
        <v>153</v>
      </c>
      <c r="J119" s="2">
        <v>-1216</v>
      </c>
      <c r="K119" s="4">
        <v>0.55000000000000004</v>
      </c>
      <c r="L119" s="4">
        <v>0.255</v>
      </c>
      <c r="M119" s="2">
        <v>108.3</v>
      </c>
      <c r="N119" s="2">
        <v>97.8</v>
      </c>
      <c r="O119" s="2">
        <v>100.3</v>
      </c>
      <c r="P119" s="2">
        <v>109.3</v>
      </c>
      <c r="Q119" s="4">
        <v>0.57499999999999996</v>
      </c>
      <c r="R119" s="4">
        <v>0.52100000000000002</v>
      </c>
      <c r="S119" s="4">
        <v>0.53500000000000003</v>
      </c>
      <c r="T119" s="4">
        <v>0.57099999999999995</v>
      </c>
      <c r="U119" s="19">
        <f>Table2[[#This Row],[NET PF]]/Table2[[#This Row],[HOME GAMES]]</f>
        <v>-2.8914728682170541</v>
      </c>
      <c r="V119" s="28">
        <f>393/Table2[[#This Row],[AWAY GAMES]]</f>
        <v>2.5686274509803924</v>
      </c>
      <c r="W119" s="4">
        <v>0.72399999999999998</v>
      </c>
      <c r="X119" s="4">
        <v>0.72499999999999998</v>
      </c>
      <c r="Y119" s="2">
        <v>-373</v>
      </c>
      <c r="Z119" s="2">
        <v>-16</v>
      </c>
      <c r="AA119" s="8">
        <f>Table2[[#This Row],[HOME MARGIN]]/Table2[[#This Row],[HOME GAMES]]</f>
        <v>5.5813953488372094</v>
      </c>
      <c r="AB119" s="8">
        <f>Table2[[#This Row],[AWAY MARGIN]]/Table2[[#This Row],[AWAY GAMES]]</f>
        <v>-7.9477124183006538</v>
      </c>
      <c r="AC119" s="8">
        <f>Table2[[#This Row],[HOME MARGIN/GAME]]-Table2[[#This Row],[AWAY MARGIN/GAME]]</f>
        <v>13.529107767137862</v>
      </c>
      <c r="AD119" s="23">
        <f>Table2[[#This Row],[HOME W/L%]]-Table2[[#This Row],[AWAY W/L%]]</f>
        <v>0.29500000000000004</v>
      </c>
      <c r="AE119" s="22"/>
      <c r="AF119"/>
    </row>
    <row r="120" spans="1:32" x14ac:dyDescent="0.2">
      <c r="A120" s="1">
        <v>58</v>
      </c>
      <c r="B120" s="1">
        <v>33</v>
      </c>
      <c r="C120" s="2" t="s">
        <v>76</v>
      </c>
      <c r="D120" s="2" t="str">
        <f>IF(COUNTIF($AG$3:$AG$20,C120)&gt;0,$AG$2,
 IF(COUNTIF($AH$3:$AH$20,C120)&gt;0,$AH$2,
 IF(COUNTIF($AI$3:$AI$20,C120)&gt;0,$AI$2,
 IF(COUNTIF($AJ$3:$AJ$20,C120)&gt;0,$AJ$2,
 IF(COUNTIF($AK$3:$AK$20,C120)&gt;0,$AK$2,
 IF(COUNTIF($AL$3:$AL$20,C120)&gt;0,$AL$2,
 IF(COUNTIF($AM$3:$AM$20,C120)&gt;0,$AM$2,"Not Found")))))))</f>
        <v>Big 10</v>
      </c>
      <c r="E120" s="2" t="s">
        <v>10</v>
      </c>
      <c r="F120" s="2" t="s">
        <v>11</v>
      </c>
      <c r="G120" s="2">
        <v>164</v>
      </c>
      <c r="H120" s="2">
        <v>1866</v>
      </c>
      <c r="I120" s="2">
        <v>106</v>
      </c>
      <c r="J120" s="2">
        <v>-107</v>
      </c>
      <c r="K120" s="4">
        <v>0.74399999999999999</v>
      </c>
      <c r="L120" s="4">
        <v>0.40600000000000003</v>
      </c>
      <c r="M120" s="2">
        <v>109.7</v>
      </c>
      <c r="N120" s="2">
        <v>103.5</v>
      </c>
      <c r="O120" s="2">
        <v>93.9</v>
      </c>
      <c r="P120" s="2">
        <v>104.9</v>
      </c>
      <c r="Q120" s="4">
        <v>0.56200000000000006</v>
      </c>
      <c r="R120" s="4">
        <v>0.53100000000000003</v>
      </c>
      <c r="S120" s="4">
        <v>0.503</v>
      </c>
      <c r="T120" s="4">
        <v>0.54400000000000004</v>
      </c>
      <c r="U120" s="19">
        <f>Table2[[#This Row],[NET PF]]/Table2[[#This Row],[HOME GAMES]]</f>
        <v>-2.7317073170731709</v>
      </c>
      <c r="V120" s="28">
        <f>393/Table2[[#This Row],[AWAY GAMES]]</f>
        <v>3.7075471698113209</v>
      </c>
      <c r="W120" s="4">
        <v>0.70299999999999996</v>
      </c>
      <c r="X120" s="4">
        <v>0.73099999999999998</v>
      </c>
      <c r="Y120" s="2">
        <v>-448</v>
      </c>
      <c r="Z120" s="2">
        <v>165</v>
      </c>
      <c r="AA120" s="8">
        <f>Table2[[#This Row],[HOME MARGIN]]/Table2[[#This Row],[HOME GAMES]]</f>
        <v>11.378048780487806</v>
      </c>
      <c r="AB120" s="8">
        <f>Table2[[#This Row],[AWAY MARGIN]]/Table2[[#This Row],[AWAY GAMES]]</f>
        <v>-1.0094339622641511</v>
      </c>
      <c r="AC120" s="8">
        <f>Table2[[#This Row],[HOME MARGIN/GAME]]-Table2[[#This Row],[AWAY MARGIN/GAME]]</f>
        <v>12.387482742751956</v>
      </c>
      <c r="AD120" s="23">
        <f>Table2[[#This Row],[HOME W/L%]]-Table2[[#This Row],[AWAY W/L%]]</f>
        <v>0.33799999999999997</v>
      </c>
      <c r="AE120" s="22"/>
      <c r="AF120"/>
    </row>
    <row r="121" spans="1:32" hidden="1" x14ac:dyDescent="0.2">
      <c r="A121" s="1">
        <v>235</v>
      </c>
      <c r="B121" s="1"/>
      <c r="C121" s="2" t="s">
        <v>380</v>
      </c>
      <c r="D121" s="2" t="str">
        <f>IF(COUNTIF($AG$3:$AG$20,C121)&gt;0,$AG$2,
 IF(COUNTIF($AH$3:$AH$20,C121)&gt;0,$AH$2,
 IF(COUNTIF($AI$3:$AI$20,C121)&gt;0,$AI$2,
 IF(COUNTIF($AJ$3:$AJ$20,C121)&gt;0,$AJ$2,
 IF(COUNTIF($AK$3:$AK$20,C121)&gt;0,$AK$2,
 IF(COUNTIF($AL$3:$AL$20,C121)&gt;0,$AL$2,
 IF(COUNTIF($AM$3:$AM$20,C121)&gt;0,$AM$2,"Not Found")))))))</f>
        <v>Not Found</v>
      </c>
      <c r="E121" s="2" t="s">
        <v>10</v>
      </c>
      <c r="F121" s="2" t="s">
        <v>11</v>
      </c>
      <c r="G121" s="2">
        <v>151</v>
      </c>
      <c r="H121" s="2">
        <v>801</v>
      </c>
      <c r="I121" s="2">
        <v>123</v>
      </c>
      <c r="J121" s="2">
        <v>-681</v>
      </c>
      <c r="K121" s="4">
        <v>0.68899999999999995</v>
      </c>
      <c r="L121" s="4">
        <v>0.29299999999999998</v>
      </c>
      <c r="M121" s="2">
        <v>104.2</v>
      </c>
      <c r="N121" s="2">
        <v>98.5</v>
      </c>
      <c r="O121" s="2">
        <v>96.5</v>
      </c>
      <c r="P121" s="2">
        <v>106.5</v>
      </c>
      <c r="Q121" s="4">
        <v>0.55200000000000005</v>
      </c>
      <c r="R121" s="4">
        <v>0.53400000000000003</v>
      </c>
      <c r="S121" s="4">
        <v>0.51700000000000002</v>
      </c>
      <c r="T121" s="4">
        <v>0.55600000000000005</v>
      </c>
      <c r="U121" s="19">
        <f>Table2[[#This Row],[NET PF]]/Table2[[#This Row],[HOME GAMES]]</f>
        <v>-1.4105960264900663</v>
      </c>
      <c r="V121" s="28">
        <f>393/Table2[[#This Row],[AWAY GAMES]]</f>
        <v>3.1951219512195124</v>
      </c>
      <c r="W121" s="4">
        <v>0.71</v>
      </c>
      <c r="X121" s="4">
        <v>0.71199999999999997</v>
      </c>
      <c r="Y121" s="2">
        <v>-213</v>
      </c>
      <c r="Z121" s="2">
        <v>404</v>
      </c>
      <c r="AA121" s="8">
        <f>Table2[[#This Row],[HOME MARGIN]]/Table2[[#This Row],[HOME GAMES]]</f>
        <v>5.3046357615894042</v>
      </c>
      <c r="AB121" s="8">
        <f>Table2[[#This Row],[AWAY MARGIN]]/Table2[[#This Row],[AWAY GAMES]]</f>
        <v>-5.5365853658536581</v>
      </c>
      <c r="AC121" s="8">
        <f>Table2[[#This Row],[HOME MARGIN/GAME]]-Table2[[#This Row],[AWAY MARGIN/GAME]]</f>
        <v>10.841221127443063</v>
      </c>
      <c r="AD121" s="23">
        <f>Table2[[#This Row],[HOME W/L%]]-Table2[[#This Row],[AWAY W/L%]]</f>
        <v>0.39599999999999996</v>
      </c>
      <c r="AE121" s="22"/>
      <c r="AF121"/>
    </row>
    <row r="122" spans="1:32" hidden="1" x14ac:dyDescent="0.2">
      <c r="A122" s="1">
        <v>306</v>
      </c>
      <c r="B122" s="1"/>
      <c r="C122" s="2" t="s">
        <v>332</v>
      </c>
      <c r="D122" s="2" t="str">
        <f>IF(COUNTIF($AG$3:$AG$20,C122)&gt;0,$AG$2,
 IF(COUNTIF($AH$3:$AH$20,C122)&gt;0,$AH$2,
 IF(COUNTIF($AI$3:$AI$20,C122)&gt;0,$AI$2,
 IF(COUNTIF($AJ$3:$AJ$20,C122)&gt;0,$AJ$2,
 IF(COUNTIF($AK$3:$AK$20,C122)&gt;0,$AK$2,
 IF(COUNTIF($AL$3:$AL$20,C122)&gt;0,$AL$2,
 IF(COUNTIF($AM$3:$AM$20,C122)&gt;0,$AM$2,"Not Found")))))))</f>
        <v>Not Found</v>
      </c>
      <c r="E122" s="2" t="s">
        <v>10</v>
      </c>
      <c r="F122" s="2" t="s">
        <v>11</v>
      </c>
      <c r="G122" s="2">
        <v>147</v>
      </c>
      <c r="H122" s="2">
        <v>434</v>
      </c>
      <c r="I122" s="2">
        <v>133</v>
      </c>
      <c r="J122" s="2">
        <v>-897</v>
      </c>
      <c r="K122" s="4">
        <v>0.53700000000000003</v>
      </c>
      <c r="L122" s="4">
        <v>0.32300000000000001</v>
      </c>
      <c r="M122" s="2">
        <v>99.9</v>
      </c>
      <c r="N122" s="2">
        <v>95.8</v>
      </c>
      <c r="O122" s="2">
        <v>95.9</v>
      </c>
      <c r="P122" s="2">
        <v>105</v>
      </c>
      <c r="Q122" s="4">
        <v>0.53400000000000003</v>
      </c>
      <c r="R122" s="4">
        <v>0.52600000000000002</v>
      </c>
      <c r="S122" s="4">
        <v>0.501</v>
      </c>
      <c r="T122" s="4">
        <v>0.54700000000000004</v>
      </c>
      <c r="U122" s="19">
        <f>Table2[[#This Row],[NET PF]]/Table2[[#This Row],[HOME GAMES]]</f>
        <v>-5.4421768707482991E-2</v>
      </c>
      <c r="V122" s="28">
        <f>393/Table2[[#This Row],[AWAY GAMES]]</f>
        <v>2.9548872180451129</v>
      </c>
      <c r="W122" s="4">
        <v>0.68799999999999994</v>
      </c>
      <c r="X122" s="4">
        <v>0.73699999999999999</v>
      </c>
      <c r="Y122" s="2">
        <v>-8</v>
      </c>
      <c r="Z122" s="2">
        <v>391</v>
      </c>
      <c r="AA122" s="8">
        <f>Table2[[#This Row],[HOME MARGIN]]/Table2[[#This Row],[HOME GAMES]]</f>
        <v>2.9523809523809526</v>
      </c>
      <c r="AB122" s="8">
        <f>Table2[[#This Row],[AWAY MARGIN]]/Table2[[#This Row],[AWAY GAMES]]</f>
        <v>-6.7443609022556394</v>
      </c>
      <c r="AC122" s="8">
        <f>Table2[[#This Row],[HOME MARGIN/GAME]]-Table2[[#This Row],[AWAY MARGIN/GAME]]</f>
        <v>9.696741854636592</v>
      </c>
      <c r="AD122" s="23">
        <f>Table2[[#This Row],[HOME W/L%]]-Table2[[#This Row],[AWAY W/L%]]</f>
        <v>0.21400000000000002</v>
      </c>
      <c r="AE122" s="22"/>
      <c r="AF122"/>
    </row>
    <row r="123" spans="1:32" hidden="1" x14ac:dyDescent="0.2">
      <c r="A123" s="1">
        <v>308</v>
      </c>
      <c r="B123" s="1"/>
      <c r="C123" s="2" t="s">
        <v>237</v>
      </c>
      <c r="D123" s="2" t="str">
        <f>IF(COUNTIF($AG$3:$AG$20,C123)&gt;0,$AG$2,
 IF(COUNTIF($AH$3:$AH$20,C123)&gt;0,$AH$2,
 IF(COUNTIF($AI$3:$AI$20,C123)&gt;0,$AI$2,
 IF(COUNTIF($AJ$3:$AJ$20,C123)&gt;0,$AJ$2,
 IF(COUNTIF($AK$3:$AK$20,C123)&gt;0,$AK$2,
 IF(COUNTIF($AL$3:$AL$20,C123)&gt;0,$AL$2,
 IF(COUNTIF($AM$3:$AM$20,C123)&gt;0,$AM$2,"Not Found")))))))</f>
        <v>Not Found</v>
      </c>
      <c r="E123" s="2" t="s">
        <v>10</v>
      </c>
      <c r="F123" s="2" t="s">
        <v>11</v>
      </c>
      <c r="G123" s="2">
        <v>143</v>
      </c>
      <c r="H123" s="2">
        <v>414</v>
      </c>
      <c r="I123" s="2">
        <v>139</v>
      </c>
      <c r="J123" s="2">
        <v>-1717</v>
      </c>
      <c r="K123" s="4">
        <v>0.497</v>
      </c>
      <c r="L123" s="4">
        <v>0.187</v>
      </c>
      <c r="M123" s="2">
        <v>104</v>
      </c>
      <c r="N123" s="2">
        <v>94</v>
      </c>
      <c r="O123" s="2">
        <v>100</v>
      </c>
      <c r="P123" s="2">
        <v>111.4</v>
      </c>
      <c r="Q123" s="4">
        <v>0.56499999999999995</v>
      </c>
      <c r="R123" s="4">
        <v>0.52</v>
      </c>
      <c r="S123" s="4">
        <v>0.53500000000000003</v>
      </c>
      <c r="T123" s="4">
        <v>0.57399999999999995</v>
      </c>
      <c r="U123" s="19">
        <f>Table2[[#This Row],[NET PF]]/Table2[[#This Row],[HOME GAMES]]</f>
        <v>-0.41258741258741261</v>
      </c>
      <c r="V123" s="28">
        <f>393/Table2[[#This Row],[AWAY GAMES]]</f>
        <v>2.8273381294964031</v>
      </c>
      <c r="W123" s="4">
        <v>0.70399999999999996</v>
      </c>
      <c r="X123" s="4">
        <v>0.71799999999999997</v>
      </c>
      <c r="Y123" s="2">
        <v>-59</v>
      </c>
      <c r="Z123" s="2">
        <v>171</v>
      </c>
      <c r="AA123" s="8">
        <f>Table2[[#This Row],[HOME MARGIN]]/Table2[[#This Row],[HOME GAMES]]</f>
        <v>2.895104895104895</v>
      </c>
      <c r="AB123" s="8">
        <f>Table2[[#This Row],[AWAY MARGIN]]/Table2[[#This Row],[AWAY GAMES]]</f>
        <v>-12.352517985611511</v>
      </c>
      <c r="AC123" s="8">
        <f>Table2[[#This Row],[HOME MARGIN/GAME]]-Table2[[#This Row],[AWAY MARGIN/GAME]]</f>
        <v>15.247622880716406</v>
      </c>
      <c r="AD123" s="23">
        <f>Table2[[#This Row],[HOME W/L%]]-Table2[[#This Row],[AWAY W/L%]]</f>
        <v>0.31</v>
      </c>
      <c r="AE123" s="22"/>
      <c r="AF123"/>
    </row>
    <row r="124" spans="1:32" x14ac:dyDescent="0.2">
      <c r="A124" s="1">
        <v>48</v>
      </c>
      <c r="B124" s="1">
        <v>35</v>
      </c>
      <c r="C124" s="2" t="s">
        <v>169</v>
      </c>
      <c r="D124" s="2" t="str">
        <f>IF(COUNTIF($AG$3:$AG$20,C124)&gt;0,$AG$2,
 IF(COUNTIF($AH$3:$AH$20,C124)&gt;0,$AH$2,
 IF(COUNTIF($AI$3:$AI$20,C124)&gt;0,$AI$2,
 IF(COUNTIF($AJ$3:$AJ$20,C124)&gt;0,$AJ$2,
 IF(COUNTIF($AK$3:$AK$20,C124)&gt;0,$AK$2,
 IF(COUNTIF($AL$3:$AL$20,C124)&gt;0,$AL$2,
 IF(COUNTIF($AM$3:$AM$20,C124)&gt;0,$AM$2,"Not Found")))))))</f>
        <v>Big 10</v>
      </c>
      <c r="E124" s="2" t="s">
        <v>10</v>
      </c>
      <c r="F124" s="2" t="s">
        <v>11</v>
      </c>
      <c r="G124" s="2">
        <v>173</v>
      </c>
      <c r="H124" s="2">
        <v>1939</v>
      </c>
      <c r="I124" s="2">
        <v>106</v>
      </c>
      <c r="J124" s="2">
        <v>-498</v>
      </c>
      <c r="K124" s="4">
        <v>0.76900000000000002</v>
      </c>
      <c r="L124" s="4">
        <v>0.33</v>
      </c>
      <c r="M124" s="2">
        <v>110.5</v>
      </c>
      <c r="N124" s="2">
        <v>99.1</v>
      </c>
      <c r="O124" s="2">
        <v>94.6</v>
      </c>
      <c r="P124" s="2">
        <v>105.8</v>
      </c>
      <c r="Q124" s="4">
        <v>0.57499999999999996</v>
      </c>
      <c r="R124" s="4">
        <v>0.52300000000000002</v>
      </c>
      <c r="S124" s="4">
        <v>0.503</v>
      </c>
      <c r="T124" s="4">
        <v>0.54200000000000004</v>
      </c>
      <c r="U124" s="19">
        <f>Table2[[#This Row],[NET PF]]/Table2[[#This Row],[HOME GAMES]]</f>
        <v>-2.2138728323699421</v>
      </c>
      <c r="V124" s="28">
        <f>393/Table2[[#This Row],[AWAY GAMES]]</f>
        <v>3.7075471698113209</v>
      </c>
      <c r="W124" s="4">
        <v>0.68400000000000005</v>
      </c>
      <c r="X124" s="4">
        <v>0.72399999999999998</v>
      </c>
      <c r="Y124" s="2">
        <v>-383</v>
      </c>
      <c r="Z124" s="2">
        <v>180</v>
      </c>
      <c r="AA124" s="8">
        <f>Table2[[#This Row],[HOME MARGIN]]/Table2[[#This Row],[HOME GAMES]]</f>
        <v>11.208092485549132</v>
      </c>
      <c r="AB124" s="8">
        <f>Table2[[#This Row],[AWAY MARGIN]]/Table2[[#This Row],[AWAY GAMES]]</f>
        <v>-4.6981132075471699</v>
      </c>
      <c r="AC124" s="8">
        <f>Table2[[#This Row],[HOME MARGIN/GAME]]-Table2[[#This Row],[AWAY MARGIN/GAME]]</f>
        <v>15.906205693096302</v>
      </c>
      <c r="AD124" s="23">
        <f>Table2[[#This Row],[HOME W/L%]]-Table2[[#This Row],[AWAY W/L%]]</f>
        <v>0.439</v>
      </c>
      <c r="AE124" s="22"/>
      <c r="AF124"/>
    </row>
    <row r="125" spans="1:32" hidden="1" x14ac:dyDescent="0.2">
      <c r="A125" s="1">
        <v>169</v>
      </c>
      <c r="B125" s="1"/>
      <c r="C125" s="2" t="s">
        <v>175</v>
      </c>
      <c r="D125" s="2" t="str">
        <f>IF(COUNTIF($AG$3:$AG$20,C125)&gt;0,$AG$2,
 IF(COUNTIF($AH$3:$AH$20,C125)&gt;0,$AH$2,
 IF(COUNTIF($AI$3:$AI$20,C125)&gt;0,$AI$2,
 IF(COUNTIF($AJ$3:$AJ$20,C125)&gt;0,$AJ$2,
 IF(COUNTIF($AK$3:$AK$20,C125)&gt;0,$AK$2,
 IF(COUNTIF($AL$3:$AL$20,C125)&gt;0,$AL$2,
 IF(COUNTIF($AM$3:$AM$20,C125)&gt;0,$AM$2,"Not Found")))))))</f>
        <v>Not Found</v>
      </c>
      <c r="E125" s="2" t="s">
        <v>10</v>
      </c>
      <c r="F125" s="2" t="s">
        <v>11</v>
      </c>
      <c r="G125" s="2">
        <v>139</v>
      </c>
      <c r="H125" s="2">
        <v>1148</v>
      </c>
      <c r="I125" s="2">
        <v>126</v>
      </c>
      <c r="J125" s="2">
        <v>-519</v>
      </c>
      <c r="K125" s="4">
        <v>0.69099999999999995</v>
      </c>
      <c r="L125" s="4">
        <v>0.35699999999999998</v>
      </c>
      <c r="M125" s="2">
        <v>105.5</v>
      </c>
      <c r="N125" s="2">
        <v>99.9</v>
      </c>
      <c r="O125" s="2">
        <v>93.8</v>
      </c>
      <c r="P125" s="2">
        <v>105.6</v>
      </c>
      <c r="Q125" s="4">
        <v>0.56599999999999995</v>
      </c>
      <c r="R125" s="4">
        <v>0.54400000000000004</v>
      </c>
      <c r="S125" s="4">
        <v>0.51300000000000001</v>
      </c>
      <c r="T125" s="4">
        <v>0.55900000000000005</v>
      </c>
      <c r="U125" s="19">
        <f>Table2[[#This Row],[NET PF]]/Table2[[#This Row],[HOME GAMES]]</f>
        <v>-2.064748201438849</v>
      </c>
      <c r="V125" s="28">
        <f>393/Table2[[#This Row],[AWAY GAMES]]</f>
        <v>3.1190476190476191</v>
      </c>
      <c r="W125" s="4">
        <v>0.71399999999999997</v>
      </c>
      <c r="X125" s="4">
        <v>0.72099999999999997</v>
      </c>
      <c r="Y125" s="2">
        <v>-287</v>
      </c>
      <c r="Z125" s="2">
        <v>341</v>
      </c>
      <c r="AA125" s="8">
        <f>Table2[[#This Row],[HOME MARGIN]]/Table2[[#This Row],[HOME GAMES]]</f>
        <v>8.2589928057553958</v>
      </c>
      <c r="AB125" s="8">
        <f>Table2[[#This Row],[AWAY MARGIN]]/Table2[[#This Row],[AWAY GAMES]]</f>
        <v>-4.1190476190476186</v>
      </c>
      <c r="AC125" s="8">
        <f>Table2[[#This Row],[HOME MARGIN/GAME]]-Table2[[#This Row],[AWAY MARGIN/GAME]]</f>
        <v>12.378040424803014</v>
      </c>
      <c r="AD125" s="23">
        <f>Table2[[#This Row],[HOME W/L%]]-Table2[[#This Row],[AWAY W/L%]]</f>
        <v>0.33399999999999996</v>
      </c>
      <c r="AE125" s="22"/>
      <c r="AF125"/>
    </row>
    <row r="126" spans="1:32" hidden="1" x14ac:dyDescent="0.2">
      <c r="A126" s="1">
        <v>229</v>
      </c>
      <c r="B126" s="1"/>
      <c r="C126" s="2" t="s">
        <v>54</v>
      </c>
      <c r="D126" s="2" t="str">
        <f>IF(COUNTIF($AG$3:$AG$20,C126)&gt;0,$AG$2,
 IF(COUNTIF($AH$3:$AH$20,C126)&gt;0,$AH$2,
 IF(COUNTIF($AI$3:$AI$20,C126)&gt;0,$AI$2,
 IF(COUNTIF($AJ$3:$AJ$20,C126)&gt;0,$AJ$2,
 IF(COUNTIF($AK$3:$AK$20,C126)&gt;0,$AK$2,
 IF(COUNTIF($AL$3:$AL$20,C126)&gt;0,$AL$2,
 IF(COUNTIF($AM$3:$AM$20,C126)&gt;0,$AM$2,"Not Found")))))))</f>
        <v>Not Found</v>
      </c>
      <c r="E126" s="2" t="s">
        <v>10</v>
      </c>
      <c r="F126" s="2" t="s">
        <v>11</v>
      </c>
      <c r="G126" s="2">
        <v>117</v>
      </c>
      <c r="H126" s="2">
        <v>829</v>
      </c>
      <c r="I126" s="2">
        <v>127</v>
      </c>
      <c r="J126" s="2">
        <v>7</v>
      </c>
      <c r="K126" s="4">
        <v>0.71799999999999997</v>
      </c>
      <c r="L126" s="4">
        <v>0.48799999999999999</v>
      </c>
      <c r="M126" s="2">
        <v>107.9</v>
      </c>
      <c r="N126" s="2">
        <v>103</v>
      </c>
      <c r="O126" s="2">
        <v>98</v>
      </c>
      <c r="P126" s="2">
        <v>102.9</v>
      </c>
      <c r="Q126" s="4">
        <v>0.55400000000000005</v>
      </c>
      <c r="R126" s="4">
        <v>0.54200000000000004</v>
      </c>
      <c r="S126" s="4">
        <v>0.52300000000000002</v>
      </c>
      <c r="T126" s="4">
        <v>0.53900000000000003</v>
      </c>
      <c r="U126" s="19">
        <f>Table2[[#This Row],[NET PF]]/Table2[[#This Row],[HOME GAMES]]</f>
        <v>-0.41880341880341881</v>
      </c>
      <c r="V126" s="28">
        <f>393/Table2[[#This Row],[AWAY GAMES]]</f>
        <v>3.0944881889763778</v>
      </c>
      <c r="W126" s="4">
        <v>0.69699999999999995</v>
      </c>
      <c r="X126" s="4">
        <v>0.70099999999999996</v>
      </c>
      <c r="Y126" s="2">
        <v>-49</v>
      </c>
      <c r="Z126" s="2">
        <v>278</v>
      </c>
      <c r="AA126" s="8">
        <f>Table2[[#This Row],[HOME MARGIN]]/Table2[[#This Row],[HOME GAMES]]</f>
        <v>7.0854700854700852</v>
      </c>
      <c r="AB126" s="8">
        <f>Table2[[#This Row],[AWAY MARGIN]]/Table2[[#This Row],[AWAY GAMES]]</f>
        <v>5.5118110236220472E-2</v>
      </c>
      <c r="AC126" s="8">
        <f>Table2[[#This Row],[HOME MARGIN/GAME]]-Table2[[#This Row],[AWAY MARGIN/GAME]]</f>
        <v>7.0303519752338648</v>
      </c>
      <c r="AD126" s="23">
        <f>Table2[[#This Row],[HOME W/L%]]-Table2[[#This Row],[AWAY W/L%]]</f>
        <v>0.22999999999999998</v>
      </c>
      <c r="AE126" s="22"/>
      <c r="AF126"/>
    </row>
    <row r="127" spans="1:32" x14ac:dyDescent="0.2">
      <c r="A127" s="1">
        <v>26</v>
      </c>
      <c r="B127" s="1">
        <v>21</v>
      </c>
      <c r="C127" s="2" t="s">
        <v>133</v>
      </c>
      <c r="D127" s="2" t="str">
        <f>IF(COUNTIF($AG$3:$AG$20,C127)&gt;0,$AG$2,
 IF(COUNTIF($AH$3:$AH$20,C127)&gt;0,$AH$2,
 IF(COUNTIF($AI$3:$AI$20,C127)&gt;0,$AI$2,
 IF(COUNTIF($AJ$3:$AJ$20,C127)&gt;0,$AJ$2,
 IF(COUNTIF($AK$3:$AK$20,C127)&gt;0,$AK$2,
 IF(COUNTIF($AL$3:$AL$20,C127)&gt;0,$AL$2,
 IF(COUNTIF($AM$3:$AM$20,C127)&gt;0,$AM$2,"Not Found")))))))</f>
        <v>Big 10</v>
      </c>
      <c r="E127" s="2" t="s">
        <v>10</v>
      </c>
      <c r="F127" s="2" t="s">
        <v>11</v>
      </c>
      <c r="G127" s="2">
        <v>167</v>
      </c>
      <c r="H127" s="2">
        <v>2146</v>
      </c>
      <c r="I127" s="2">
        <v>108</v>
      </c>
      <c r="J127" s="2">
        <v>-363</v>
      </c>
      <c r="K127" s="4">
        <v>0.78400000000000003</v>
      </c>
      <c r="L127" s="4">
        <v>0.37</v>
      </c>
      <c r="M127" s="2">
        <v>116.8</v>
      </c>
      <c r="N127" s="2">
        <v>105.4</v>
      </c>
      <c r="O127" s="2">
        <v>99.2</v>
      </c>
      <c r="P127" s="2">
        <v>110.2</v>
      </c>
      <c r="Q127" s="4">
        <v>0.58499999999999996</v>
      </c>
      <c r="R127" s="4">
        <v>0.53200000000000003</v>
      </c>
      <c r="S127" s="4">
        <v>0.51900000000000002</v>
      </c>
      <c r="T127" s="4">
        <v>0.56499999999999995</v>
      </c>
      <c r="U127" s="19">
        <f>Table2[[#This Row],[NET PF]]/Table2[[#This Row],[HOME GAMES]]</f>
        <v>-4.6526946107784433</v>
      </c>
      <c r="V127" s="28">
        <f>393/Table2[[#This Row],[AWAY GAMES]]</f>
        <v>3.6388888888888888</v>
      </c>
      <c r="W127" s="4">
        <v>0.68799999999999994</v>
      </c>
      <c r="X127" s="4">
        <v>0.71299999999999997</v>
      </c>
      <c r="Y127" s="2">
        <v>-777</v>
      </c>
      <c r="Z127" s="2">
        <v>50</v>
      </c>
      <c r="AA127" s="8">
        <f>Table2[[#This Row],[HOME MARGIN]]/Table2[[#This Row],[HOME GAMES]]</f>
        <v>12.850299401197605</v>
      </c>
      <c r="AB127" s="8">
        <f>Table2[[#This Row],[AWAY MARGIN]]/Table2[[#This Row],[AWAY GAMES]]</f>
        <v>-3.3611111111111112</v>
      </c>
      <c r="AC127" s="8">
        <f>Table2[[#This Row],[HOME MARGIN/GAME]]-Table2[[#This Row],[AWAY MARGIN/GAME]]</f>
        <v>16.211410512308717</v>
      </c>
      <c r="AD127" s="23">
        <f>Table2[[#This Row],[HOME W/L%]]-Table2[[#This Row],[AWAY W/L%]]</f>
        <v>0.41400000000000003</v>
      </c>
      <c r="AE127" s="22"/>
      <c r="AF127"/>
    </row>
    <row r="128" spans="1:32" x14ac:dyDescent="0.2">
      <c r="A128" s="1">
        <v>47</v>
      </c>
      <c r="B128" s="1">
        <v>24</v>
      </c>
      <c r="C128" s="2" t="s">
        <v>200</v>
      </c>
      <c r="D128" s="2" t="str">
        <f>IF(COUNTIF($AG$3:$AG$20,C128)&gt;0,$AG$2,
 IF(COUNTIF($AH$3:$AH$20,C128)&gt;0,$AH$2,
 IF(COUNTIF($AI$3:$AI$20,C128)&gt;0,$AI$2,
 IF(COUNTIF($AJ$3:$AJ$20,C128)&gt;0,$AJ$2,
 IF(COUNTIF($AK$3:$AK$20,C128)&gt;0,$AK$2,
 IF(COUNTIF($AL$3:$AL$20,C128)&gt;0,$AL$2,
 IF(COUNTIF($AM$3:$AM$20,C128)&gt;0,$AM$2,"Not Found")))))))</f>
        <v>Big 12</v>
      </c>
      <c r="E128" s="2" t="s">
        <v>10</v>
      </c>
      <c r="F128" s="2" t="s">
        <v>11</v>
      </c>
      <c r="G128" s="2">
        <v>162</v>
      </c>
      <c r="H128" s="2">
        <v>1945</v>
      </c>
      <c r="I128" s="2">
        <v>107</v>
      </c>
      <c r="J128" s="2">
        <v>-604</v>
      </c>
      <c r="K128" s="4">
        <v>0.74099999999999999</v>
      </c>
      <c r="L128" s="4">
        <v>0.29899999999999999</v>
      </c>
      <c r="M128" s="2">
        <v>108.1</v>
      </c>
      <c r="N128" s="2">
        <v>99.6</v>
      </c>
      <c r="O128" s="2">
        <v>91.1</v>
      </c>
      <c r="P128" s="2">
        <v>107.6</v>
      </c>
      <c r="Q128" s="4">
        <v>0.56599999999999995</v>
      </c>
      <c r="R128" s="4">
        <v>0.52500000000000002</v>
      </c>
      <c r="S128" s="4">
        <v>0.5</v>
      </c>
      <c r="T128" s="4">
        <v>0.56200000000000006</v>
      </c>
      <c r="U128" s="19">
        <f>Table2[[#This Row],[NET PF]]/Table2[[#This Row],[HOME GAMES]]</f>
        <v>-1.9074074074074074</v>
      </c>
      <c r="V128" s="28">
        <f>393/Table2[[#This Row],[AWAY GAMES]]</f>
        <v>3.6728971962616823</v>
      </c>
      <c r="W128" s="4">
        <v>0.70499999999999996</v>
      </c>
      <c r="X128" s="4">
        <v>0.72399999999999998</v>
      </c>
      <c r="Y128" s="2">
        <v>-309</v>
      </c>
      <c r="Z128" s="2">
        <v>258</v>
      </c>
      <c r="AA128" s="8">
        <f>Table2[[#This Row],[HOME MARGIN]]/Table2[[#This Row],[HOME GAMES]]</f>
        <v>12.006172839506172</v>
      </c>
      <c r="AB128" s="8">
        <f>Table2[[#This Row],[AWAY MARGIN]]/Table2[[#This Row],[AWAY GAMES]]</f>
        <v>-5.6448598130841123</v>
      </c>
      <c r="AC128" s="8">
        <f>Table2[[#This Row],[HOME MARGIN/GAME]]-Table2[[#This Row],[AWAY MARGIN/GAME]]</f>
        <v>17.651032652590285</v>
      </c>
      <c r="AD128" s="23">
        <f>Table2[[#This Row],[HOME W/L%]]-Table2[[#This Row],[AWAY W/L%]]</f>
        <v>0.442</v>
      </c>
      <c r="AE128" s="22"/>
      <c r="AF128"/>
    </row>
    <row r="129" spans="1:32" hidden="1" x14ac:dyDescent="0.2">
      <c r="A129" s="1">
        <v>350</v>
      </c>
      <c r="B129" s="1"/>
      <c r="C129" s="2" t="s">
        <v>232</v>
      </c>
      <c r="D129" s="2" t="str">
        <f>IF(COUNTIF($AG$3:$AG$20,C129)&gt;0,$AG$2,
 IF(COUNTIF($AH$3:$AH$20,C129)&gt;0,$AH$2,
 IF(COUNTIF($AI$3:$AI$20,C129)&gt;0,$AI$2,
 IF(COUNTIF($AJ$3:$AJ$20,C129)&gt;0,$AJ$2,
 IF(COUNTIF($AK$3:$AK$20,C129)&gt;0,$AK$2,
 IF(COUNTIF($AL$3:$AL$20,C129)&gt;0,$AL$2,
 IF(COUNTIF($AM$3:$AM$20,C129)&gt;0,$AM$2,"Not Found")))))))</f>
        <v>Not Found</v>
      </c>
      <c r="E129" s="2" t="s">
        <v>10</v>
      </c>
      <c r="F129" s="2" t="s">
        <v>11</v>
      </c>
      <c r="G129" s="2">
        <v>127</v>
      </c>
      <c r="H129" s="2">
        <v>89</v>
      </c>
      <c r="I129" s="2">
        <v>148</v>
      </c>
      <c r="J129" s="2">
        <v>-1776</v>
      </c>
      <c r="K129" s="4">
        <v>0.48</v>
      </c>
      <c r="L129" s="4">
        <v>0.189</v>
      </c>
      <c r="M129" s="2">
        <v>102.8</v>
      </c>
      <c r="N129" s="2">
        <v>94.8</v>
      </c>
      <c r="O129" s="2">
        <v>101.8</v>
      </c>
      <c r="P129" s="2">
        <v>111.8</v>
      </c>
      <c r="Q129" s="4">
        <v>0.54</v>
      </c>
      <c r="R129" s="4">
        <v>0.50700000000000001</v>
      </c>
      <c r="S129" s="4">
        <v>0.54700000000000004</v>
      </c>
      <c r="T129" s="4">
        <v>0.58699999999999997</v>
      </c>
      <c r="U129" s="19">
        <f>Table2[[#This Row],[NET PF]]/Table2[[#This Row],[HOME GAMES]]</f>
        <v>-0.55118110236220474</v>
      </c>
      <c r="V129" s="28">
        <f>393/Table2[[#This Row],[AWAY GAMES]]</f>
        <v>2.6554054054054053</v>
      </c>
      <c r="W129" s="4">
        <v>0.72299999999999998</v>
      </c>
      <c r="X129" s="4">
        <v>0.74399999999999999</v>
      </c>
      <c r="Y129" s="2">
        <v>-70</v>
      </c>
      <c r="Z129" s="2">
        <v>359</v>
      </c>
      <c r="AA129" s="8">
        <f>Table2[[#This Row],[HOME MARGIN]]/Table2[[#This Row],[HOME GAMES]]</f>
        <v>0.70078740157480313</v>
      </c>
      <c r="AB129" s="8">
        <f>Table2[[#This Row],[AWAY MARGIN]]/Table2[[#This Row],[AWAY GAMES]]</f>
        <v>-12</v>
      </c>
      <c r="AC129" s="8">
        <f>Table2[[#This Row],[HOME MARGIN/GAME]]-Table2[[#This Row],[AWAY MARGIN/GAME]]</f>
        <v>12.700787401574804</v>
      </c>
      <c r="AD129" s="23">
        <f>Table2[[#This Row],[HOME W/L%]]-Table2[[#This Row],[AWAY W/L%]]</f>
        <v>0.29099999999999998</v>
      </c>
      <c r="AE129" s="22"/>
      <c r="AF129"/>
    </row>
    <row r="130" spans="1:32" hidden="1" x14ac:dyDescent="0.2">
      <c r="A130" s="1">
        <v>240</v>
      </c>
      <c r="B130" s="1"/>
      <c r="C130" s="2" t="s">
        <v>250</v>
      </c>
      <c r="D130" s="2" t="str">
        <f>IF(COUNTIF($AG$3:$AG$20,C130)&gt;0,$AG$2,
 IF(COUNTIF($AH$3:$AH$20,C130)&gt;0,$AH$2,
 IF(COUNTIF($AI$3:$AI$20,C130)&gt;0,$AI$2,
 IF(COUNTIF($AJ$3:$AJ$20,C130)&gt;0,$AJ$2,
 IF(COUNTIF($AK$3:$AK$20,C130)&gt;0,$AK$2,
 IF(COUNTIF($AL$3:$AL$20,C130)&gt;0,$AL$2,
 IF(COUNTIF($AM$3:$AM$20,C130)&gt;0,$AM$2,"Not Found")))))))</f>
        <v>Not Found</v>
      </c>
      <c r="E130" s="2" t="s">
        <v>10</v>
      </c>
      <c r="F130" s="2" t="s">
        <v>11</v>
      </c>
      <c r="G130" s="2">
        <v>102</v>
      </c>
      <c r="H130" s="2">
        <v>760</v>
      </c>
      <c r="I130" s="2">
        <v>180</v>
      </c>
      <c r="J130" s="2">
        <v>-1505</v>
      </c>
      <c r="K130" s="4">
        <v>0.78400000000000003</v>
      </c>
      <c r="L130" s="4">
        <v>0.27800000000000002</v>
      </c>
      <c r="M130" s="2">
        <v>101.8</v>
      </c>
      <c r="N130" s="2">
        <v>90.7</v>
      </c>
      <c r="O130" s="2">
        <v>91</v>
      </c>
      <c r="P130" s="2">
        <v>102.6</v>
      </c>
      <c r="Q130" s="4">
        <v>0.52100000000000002</v>
      </c>
      <c r="R130" s="4">
        <v>0.47499999999999998</v>
      </c>
      <c r="S130" s="4">
        <v>0.497</v>
      </c>
      <c r="T130" s="4">
        <v>0.55400000000000005</v>
      </c>
      <c r="U130" s="19">
        <f>Table2[[#This Row],[NET PF]]/Table2[[#This Row],[HOME GAMES]]</f>
        <v>-0.9509803921568627</v>
      </c>
      <c r="V130" s="28">
        <f>393/Table2[[#This Row],[AWAY GAMES]]</f>
        <v>2.1833333333333331</v>
      </c>
      <c r="W130" s="4">
        <v>0.68899999999999995</v>
      </c>
      <c r="X130" s="4">
        <v>0.71399999999999997</v>
      </c>
      <c r="Y130" s="2">
        <v>-97</v>
      </c>
      <c r="Z130" s="2">
        <v>637</v>
      </c>
      <c r="AA130" s="8">
        <f>Table2[[#This Row],[HOME MARGIN]]/Table2[[#This Row],[HOME GAMES]]</f>
        <v>7.4509803921568629</v>
      </c>
      <c r="AB130" s="8">
        <f>Table2[[#This Row],[AWAY MARGIN]]/Table2[[#This Row],[AWAY GAMES]]</f>
        <v>-8.3611111111111107</v>
      </c>
      <c r="AC130" s="8">
        <f>Table2[[#This Row],[HOME MARGIN/GAME]]-Table2[[#This Row],[AWAY MARGIN/GAME]]</f>
        <v>15.812091503267974</v>
      </c>
      <c r="AD130" s="23">
        <f>Table2[[#This Row],[HOME W/L%]]-Table2[[#This Row],[AWAY W/L%]]</f>
        <v>0.50600000000000001</v>
      </c>
      <c r="AE130" s="22"/>
      <c r="AF130"/>
    </row>
    <row r="131" spans="1:32" hidden="1" x14ac:dyDescent="0.2">
      <c r="A131" s="1">
        <v>156</v>
      </c>
      <c r="B131" s="1"/>
      <c r="C131" s="2" t="s">
        <v>312</v>
      </c>
      <c r="D131" s="2" t="str">
        <f>IF(COUNTIF($AG$3:$AG$20,C131)&gt;0,$AG$2,
 IF(COUNTIF($AH$3:$AH$20,C131)&gt;0,$AH$2,
 IF(COUNTIF($AI$3:$AI$20,C131)&gt;0,$AI$2,
 IF(COUNTIF($AJ$3:$AJ$20,C131)&gt;0,$AJ$2,
 IF(COUNTIF($AK$3:$AK$20,C131)&gt;0,$AK$2,
 IF(COUNTIF($AL$3:$AL$20,C131)&gt;0,$AL$2,
 IF(COUNTIF($AM$3:$AM$20,C131)&gt;0,$AM$2,"Not Found")))))))</f>
        <v>Not Found</v>
      </c>
      <c r="E131" s="2" t="s">
        <v>10</v>
      </c>
      <c r="F131" s="2" t="s">
        <v>11</v>
      </c>
      <c r="G131" s="2">
        <v>134</v>
      </c>
      <c r="H131" s="2">
        <v>1218</v>
      </c>
      <c r="I131" s="2">
        <v>150</v>
      </c>
      <c r="J131" s="2">
        <v>-997</v>
      </c>
      <c r="K131" s="4">
        <v>0.65700000000000003</v>
      </c>
      <c r="L131" s="4">
        <v>0.36</v>
      </c>
      <c r="M131" s="2">
        <v>106</v>
      </c>
      <c r="N131" s="2">
        <v>96.4</v>
      </c>
      <c r="O131" s="2">
        <v>93.1</v>
      </c>
      <c r="P131" s="2">
        <v>105.9</v>
      </c>
      <c r="Q131" s="4">
        <v>0.55500000000000005</v>
      </c>
      <c r="R131" s="4">
        <v>0.51500000000000001</v>
      </c>
      <c r="S131" s="4">
        <v>0.503</v>
      </c>
      <c r="T131" s="4">
        <v>0.55300000000000005</v>
      </c>
      <c r="U131" s="19">
        <f>Table2[[#This Row],[NET PF]]/Table2[[#This Row],[HOME GAMES]]</f>
        <v>-1.2835820895522387</v>
      </c>
      <c r="V131" s="28">
        <f>393/Table2[[#This Row],[AWAY GAMES]]</f>
        <v>2.62</v>
      </c>
      <c r="W131" s="4">
        <v>0.68500000000000005</v>
      </c>
      <c r="X131" s="4">
        <v>0.70699999999999996</v>
      </c>
      <c r="Y131" s="2">
        <v>-172</v>
      </c>
      <c r="Z131" s="2">
        <v>230</v>
      </c>
      <c r="AA131" s="8">
        <f>Table2[[#This Row],[HOME MARGIN]]/Table2[[#This Row],[HOME GAMES]]</f>
        <v>9.08955223880597</v>
      </c>
      <c r="AB131" s="8">
        <f>Table2[[#This Row],[AWAY MARGIN]]/Table2[[#This Row],[AWAY GAMES]]</f>
        <v>-6.6466666666666665</v>
      </c>
      <c r="AC131" s="8">
        <f>Table2[[#This Row],[HOME MARGIN/GAME]]-Table2[[#This Row],[AWAY MARGIN/GAME]]</f>
        <v>15.736218905472636</v>
      </c>
      <c r="AD131" s="23">
        <f>Table2[[#This Row],[HOME W/L%]]-Table2[[#This Row],[AWAY W/L%]]</f>
        <v>0.29700000000000004</v>
      </c>
      <c r="AE131" s="22"/>
      <c r="AF131"/>
    </row>
    <row r="132" spans="1:32" hidden="1" x14ac:dyDescent="0.2">
      <c r="A132" s="1">
        <v>152</v>
      </c>
      <c r="B132" s="1"/>
      <c r="C132" s="2" t="s">
        <v>95</v>
      </c>
      <c r="D132" s="2" t="str">
        <f>IF(COUNTIF($AG$3:$AG$20,C132)&gt;0,$AG$2,
 IF(COUNTIF($AH$3:$AH$20,C132)&gt;0,$AH$2,
 IF(COUNTIF($AI$3:$AI$20,C132)&gt;0,$AI$2,
 IF(COUNTIF($AJ$3:$AJ$20,C132)&gt;0,$AJ$2,
 IF(COUNTIF($AK$3:$AK$20,C132)&gt;0,$AK$2,
 IF(COUNTIF($AL$3:$AL$20,C132)&gt;0,$AL$2,
 IF(COUNTIF($AM$3:$AM$20,C132)&gt;0,$AM$2,"Not Found")))))))</f>
        <v>Not Found</v>
      </c>
      <c r="E132" s="2" t="s">
        <v>10</v>
      </c>
      <c r="F132" s="2" t="s">
        <v>11</v>
      </c>
      <c r="G132" s="2">
        <v>134</v>
      </c>
      <c r="H132" s="2">
        <v>1245</v>
      </c>
      <c r="I132" s="2">
        <v>149</v>
      </c>
      <c r="J132" s="2">
        <v>-226</v>
      </c>
      <c r="K132" s="4">
        <v>0.65700000000000003</v>
      </c>
      <c r="L132" s="4">
        <v>0.43</v>
      </c>
      <c r="M132" s="2">
        <v>109</v>
      </c>
      <c r="N132" s="2">
        <v>100.1</v>
      </c>
      <c r="O132" s="2">
        <v>95.6</v>
      </c>
      <c r="P132" s="2">
        <v>102.3</v>
      </c>
      <c r="Q132" s="4">
        <v>0.56000000000000005</v>
      </c>
      <c r="R132" s="4">
        <v>0.52800000000000002</v>
      </c>
      <c r="S132" s="4">
        <v>0.50900000000000001</v>
      </c>
      <c r="T132" s="4">
        <v>0.53600000000000003</v>
      </c>
      <c r="U132" s="19">
        <f>Table2[[#This Row],[NET PF]]/Table2[[#This Row],[HOME GAMES]]</f>
        <v>-2.3208955223880596</v>
      </c>
      <c r="V132" s="28">
        <f>393/Table2[[#This Row],[AWAY GAMES]]</f>
        <v>2.6375838926174495</v>
      </c>
      <c r="W132" s="4">
        <v>0.70599999999999996</v>
      </c>
      <c r="X132" s="4">
        <v>0.71099999999999997</v>
      </c>
      <c r="Y132" s="2">
        <v>-311</v>
      </c>
      <c r="Z132" s="2">
        <v>157</v>
      </c>
      <c r="AA132" s="8">
        <f>Table2[[#This Row],[HOME MARGIN]]/Table2[[#This Row],[HOME GAMES]]</f>
        <v>9.2910447761194028</v>
      </c>
      <c r="AB132" s="8">
        <f>Table2[[#This Row],[AWAY MARGIN]]/Table2[[#This Row],[AWAY GAMES]]</f>
        <v>-1.5167785234899329</v>
      </c>
      <c r="AC132" s="8">
        <f>Table2[[#This Row],[HOME MARGIN/GAME]]-Table2[[#This Row],[AWAY MARGIN/GAME]]</f>
        <v>10.807823299609336</v>
      </c>
      <c r="AD132" s="23">
        <f>Table2[[#This Row],[HOME W/L%]]-Table2[[#This Row],[AWAY W/L%]]</f>
        <v>0.22700000000000004</v>
      </c>
      <c r="AE132" s="22"/>
      <c r="AF132"/>
    </row>
    <row r="133" spans="1:32" hidden="1" x14ac:dyDescent="0.2">
      <c r="A133" s="1">
        <v>150</v>
      </c>
      <c r="B133" s="1"/>
      <c r="C133" s="2" t="s">
        <v>99</v>
      </c>
      <c r="D133" s="2" t="str">
        <f>IF(COUNTIF($AG$3:$AG$20,C133)&gt;0,$AG$2,
 IF(COUNTIF($AH$3:$AH$20,C133)&gt;0,$AH$2,
 IF(COUNTIF($AI$3:$AI$20,C133)&gt;0,$AI$2,
 IF(COUNTIF($AJ$3:$AJ$20,C133)&gt;0,$AJ$2,
 IF(COUNTIF($AK$3:$AK$20,C133)&gt;0,$AK$2,
 IF(COUNTIF($AL$3:$AL$20,C133)&gt;0,$AL$2,
 IF(COUNTIF($AM$3:$AM$20,C133)&gt;0,$AM$2,"Not Found")))))))</f>
        <v>Not Found</v>
      </c>
      <c r="E133" s="2" t="s">
        <v>10</v>
      </c>
      <c r="F133" s="2" t="s">
        <v>11</v>
      </c>
      <c r="G133" s="2">
        <v>148</v>
      </c>
      <c r="H133" s="2">
        <v>1247</v>
      </c>
      <c r="I133" s="2">
        <v>129</v>
      </c>
      <c r="J133" s="2">
        <v>-241</v>
      </c>
      <c r="K133" s="4">
        <v>0.64900000000000002</v>
      </c>
      <c r="L133" s="4">
        <v>0.42599999999999999</v>
      </c>
      <c r="M133" s="2">
        <v>108.2</v>
      </c>
      <c r="N133" s="2">
        <v>101.7</v>
      </c>
      <c r="O133" s="2">
        <v>96.4</v>
      </c>
      <c r="P133" s="2">
        <v>104.3</v>
      </c>
      <c r="Q133" s="4">
        <v>0.55900000000000005</v>
      </c>
      <c r="R133" s="4">
        <v>0.53300000000000003</v>
      </c>
      <c r="S133" s="4">
        <v>0.51700000000000002</v>
      </c>
      <c r="T133" s="4">
        <v>0.54500000000000004</v>
      </c>
      <c r="U133" s="19">
        <f>Table2[[#This Row],[NET PF]]/Table2[[#This Row],[HOME GAMES]]</f>
        <v>-0.79054054054054057</v>
      </c>
      <c r="V133" s="28">
        <f>393/Table2[[#This Row],[AWAY GAMES]]</f>
        <v>3.0465116279069768</v>
      </c>
      <c r="W133" s="4">
        <v>0.70599999999999996</v>
      </c>
      <c r="X133" s="4">
        <v>0.71899999999999997</v>
      </c>
      <c r="Y133" s="2">
        <v>-117</v>
      </c>
      <c r="Z133" s="2">
        <v>183</v>
      </c>
      <c r="AA133" s="8">
        <f>Table2[[#This Row],[HOME MARGIN]]/Table2[[#This Row],[HOME GAMES]]</f>
        <v>8.4256756756756754</v>
      </c>
      <c r="AB133" s="8">
        <f>Table2[[#This Row],[AWAY MARGIN]]/Table2[[#This Row],[AWAY GAMES]]</f>
        <v>-1.8682170542635659</v>
      </c>
      <c r="AC133" s="8">
        <f>Table2[[#This Row],[HOME MARGIN/GAME]]-Table2[[#This Row],[AWAY MARGIN/GAME]]</f>
        <v>10.293892729939241</v>
      </c>
      <c r="AD133" s="23">
        <f>Table2[[#This Row],[HOME W/L%]]-Table2[[#This Row],[AWAY W/L%]]</f>
        <v>0.22300000000000003</v>
      </c>
      <c r="AE133" s="22"/>
      <c r="AF133"/>
    </row>
    <row r="134" spans="1:32" x14ac:dyDescent="0.2">
      <c r="A134" s="1">
        <v>17</v>
      </c>
      <c r="B134" s="1">
        <v>11</v>
      </c>
      <c r="C134" s="2" t="s">
        <v>32</v>
      </c>
      <c r="D134" s="2" t="str">
        <f>IF(COUNTIF($AG$3:$AG$20,C134)&gt;0,$AG$2,
 IF(COUNTIF($AH$3:$AH$20,C134)&gt;0,$AH$2,
 IF(COUNTIF($AI$3:$AI$20,C134)&gt;0,$AI$2,
 IF(COUNTIF($AJ$3:$AJ$20,C134)&gt;0,$AJ$2,
 IF(COUNTIF($AK$3:$AK$20,C134)&gt;0,$AK$2,
 IF(COUNTIF($AL$3:$AL$20,C134)&gt;0,$AL$2,
 IF(COUNTIF($AM$3:$AM$20,C134)&gt;0,$AM$2,"Not Found")))))))</f>
        <v>Big 12</v>
      </c>
      <c r="E134" s="2" t="s">
        <v>10</v>
      </c>
      <c r="F134" s="2" t="s">
        <v>11</v>
      </c>
      <c r="G134" s="2">
        <v>159</v>
      </c>
      <c r="H134" s="2">
        <v>2347</v>
      </c>
      <c r="I134" s="2">
        <v>108</v>
      </c>
      <c r="J134" s="2">
        <v>209</v>
      </c>
      <c r="K134" s="4">
        <v>0.92500000000000004</v>
      </c>
      <c r="L134" s="4">
        <v>0.58299999999999996</v>
      </c>
      <c r="M134" s="2">
        <v>114.3</v>
      </c>
      <c r="N134" s="2">
        <v>102</v>
      </c>
      <c r="O134" s="2">
        <v>93.6</v>
      </c>
      <c r="P134" s="2">
        <v>99.2</v>
      </c>
      <c r="Q134" s="4">
        <v>0.58699999999999997</v>
      </c>
      <c r="R134" s="4">
        <v>0.54200000000000004</v>
      </c>
      <c r="S134" s="4">
        <v>0.49099999999999999</v>
      </c>
      <c r="T134" s="4">
        <v>0.51100000000000001</v>
      </c>
      <c r="U134" s="19">
        <f>Table2[[#This Row],[NET PF]]/Table2[[#This Row],[HOME GAMES]]</f>
        <v>-2.6226415094339623</v>
      </c>
      <c r="V134" s="28">
        <f>393/Table2[[#This Row],[AWAY GAMES]]</f>
        <v>3.6388888888888888</v>
      </c>
      <c r="W134" s="4">
        <v>0.70499999999999996</v>
      </c>
      <c r="X134" s="4">
        <v>0.72199999999999998</v>
      </c>
      <c r="Y134" s="2">
        <v>-417</v>
      </c>
      <c r="Z134" s="2">
        <v>132</v>
      </c>
      <c r="AA134" s="8">
        <f>Table2[[#This Row],[HOME MARGIN]]/Table2[[#This Row],[HOME GAMES]]</f>
        <v>14.761006289308176</v>
      </c>
      <c r="AB134" s="8">
        <f>Table2[[#This Row],[AWAY MARGIN]]/Table2[[#This Row],[AWAY GAMES]]</f>
        <v>1.9351851851851851</v>
      </c>
      <c r="AC134" s="8">
        <f>Table2[[#This Row],[HOME MARGIN/GAME]]-Table2[[#This Row],[AWAY MARGIN/GAME]]</f>
        <v>12.825821104122991</v>
      </c>
      <c r="AD134" s="23">
        <f>Table2[[#This Row],[HOME W/L%]]-Table2[[#This Row],[AWAY W/L%]]</f>
        <v>0.34200000000000008</v>
      </c>
      <c r="AE134" s="22"/>
      <c r="AF134"/>
    </row>
    <row r="135" spans="1:32" hidden="1" x14ac:dyDescent="0.2">
      <c r="A135" s="1">
        <v>121</v>
      </c>
      <c r="B135" s="1"/>
      <c r="C135" s="2" t="s">
        <v>291</v>
      </c>
      <c r="D135" s="2" t="str">
        <f>IF(COUNTIF($AG$3:$AG$20,C135)&gt;0,$AG$2,
 IF(COUNTIF($AH$3:$AH$20,C135)&gt;0,$AH$2,
 IF(COUNTIF($AI$3:$AI$20,C135)&gt;0,$AI$2,
 IF(COUNTIF($AJ$3:$AJ$20,C135)&gt;0,$AJ$2,
 IF(COUNTIF($AK$3:$AK$20,C135)&gt;0,$AK$2,
 IF(COUNTIF($AL$3:$AL$20,C135)&gt;0,$AL$2,
 IF(COUNTIF($AM$3:$AM$20,C135)&gt;0,$AM$2,"Not Found")))))))</f>
        <v>Not Found</v>
      </c>
      <c r="E135" s="2" t="s">
        <v>10</v>
      </c>
      <c r="F135" s="2" t="s">
        <v>11</v>
      </c>
      <c r="G135" s="2">
        <v>135</v>
      </c>
      <c r="H135" s="2">
        <v>1397</v>
      </c>
      <c r="I135" s="2">
        <v>139</v>
      </c>
      <c r="J135" s="2">
        <v>-1116</v>
      </c>
      <c r="K135" s="4">
        <v>0.64400000000000002</v>
      </c>
      <c r="L135" s="4">
        <v>0.27300000000000002</v>
      </c>
      <c r="M135" s="2">
        <v>107.4</v>
      </c>
      <c r="N135" s="2">
        <v>95.8</v>
      </c>
      <c r="O135" s="2">
        <v>92.8</v>
      </c>
      <c r="P135" s="2">
        <v>107.4</v>
      </c>
      <c r="Q135" s="4">
        <v>0.55700000000000005</v>
      </c>
      <c r="R135" s="4">
        <v>0.51600000000000001</v>
      </c>
      <c r="S135" s="4">
        <v>0.51200000000000001</v>
      </c>
      <c r="T135" s="4">
        <v>0.57299999999999995</v>
      </c>
      <c r="U135" s="19">
        <f>Table2[[#This Row],[NET PF]]/Table2[[#This Row],[HOME GAMES]]</f>
        <v>0.6</v>
      </c>
      <c r="V135" s="28">
        <f>393/Table2[[#This Row],[AWAY GAMES]]</f>
        <v>2.8273381294964031</v>
      </c>
      <c r="W135" s="4">
        <v>0.72</v>
      </c>
      <c r="X135" s="4">
        <v>0.72</v>
      </c>
      <c r="Y135" s="2">
        <v>81</v>
      </c>
      <c r="Z135" s="2">
        <v>577</v>
      </c>
      <c r="AA135" s="8">
        <f>Table2[[#This Row],[HOME MARGIN]]/Table2[[#This Row],[HOME GAMES]]</f>
        <v>10.348148148148148</v>
      </c>
      <c r="AB135" s="8">
        <f>Table2[[#This Row],[AWAY MARGIN]]/Table2[[#This Row],[AWAY GAMES]]</f>
        <v>-8.028776978417266</v>
      </c>
      <c r="AC135" s="8">
        <f>Table2[[#This Row],[HOME MARGIN/GAME]]-Table2[[#This Row],[AWAY MARGIN/GAME]]</f>
        <v>18.376925126565414</v>
      </c>
      <c r="AD135" s="23">
        <f>Table2[[#This Row],[HOME W/L%]]-Table2[[#This Row],[AWAY W/L%]]</f>
        <v>0.371</v>
      </c>
      <c r="AE135" s="22"/>
      <c r="AF135"/>
    </row>
    <row r="136" spans="1:32" x14ac:dyDescent="0.2">
      <c r="A136" s="1">
        <v>172</v>
      </c>
      <c r="B136" s="1">
        <v>64</v>
      </c>
      <c r="C136" s="2" t="s">
        <v>176</v>
      </c>
      <c r="D136" s="2" t="str">
        <f>IF(COUNTIF($AG$3:$AG$20,C136)&gt;0,$AG$2,
 IF(COUNTIF($AH$3:$AH$20,C136)&gt;0,$AH$2,
 IF(COUNTIF($AI$3:$AI$20,C136)&gt;0,$AI$2,
 IF(COUNTIF($AJ$3:$AJ$20,C136)&gt;0,$AJ$2,
 IF(COUNTIF($AK$3:$AK$20,C136)&gt;0,$AK$2,
 IF(COUNTIF($AL$3:$AL$20,C136)&gt;0,$AL$2,
 IF(COUNTIF($AM$3:$AM$20,C136)&gt;0,$AM$2,"Not Found")))))))</f>
        <v>Big 12</v>
      </c>
      <c r="E136" s="2" t="s">
        <v>10</v>
      </c>
      <c r="F136" s="2" t="s">
        <v>11</v>
      </c>
      <c r="G136" s="2">
        <v>166</v>
      </c>
      <c r="H136" s="2">
        <v>1116</v>
      </c>
      <c r="I136" s="2">
        <v>110</v>
      </c>
      <c r="J136" s="2">
        <v>-527</v>
      </c>
      <c r="K136" s="4">
        <v>0.69299999999999995</v>
      </c>
      <c r="L136" s="4">
        <v>0.33600000000000002</v>
      </c>
      <c r="M136" s="2">
        <v>103.2</v>
      </c>
      <c r="N136" s="2">
        <v>97.4</v>
      </c>
      <c r="O136" s="2">
        <v>93.5</v>
      </c>
      <c r="P136" s="2">
        <v>104.4</v>
      </c>
      <c r="Q136" s="4">
        <v>0.54400000000000004</v>
      </c>
      <c r="R136" s="4">
        <v>0.51800000000000002</v>
      </c>
      <c r="S136" s="4">
        <v>0.50600000000000001</v>
      </c>
      <c r="T136" s="4">
        <v>0.55400000000000005</v>
      </c>
      <c r="U136" s="19">
        <f>Table2[[#This Row],[NET PF]]/Table2[[#This Row],[HOME GAMES]]</f>
        <v>-1.9036144578313252</v>
      </c>
      <c r="V136" s="28">
        <f>393/Table2[[#This Row],[AWAY GAMES]]</f>
        <v>3.5727272727272728</v>
      </c>
      <c r="W136" s="4">
        <v>0.69799999999999995</v>
      </c>
      <c r="X136" s="4">
        <v>0.72</v>
      </c>
      <c r="Y136" s="2">
        <v>-316</v>
      </c>
      <c r="Z136" s="2">
        <v>253</v>
      </c>
      <c r="AA136" s="8">
        <f>Table2[[#This Row],[HOME MARGIN]]/Table2[[#This Row],[HOME GAMES]]</f>
        <v>6.7228915662650603</v>
      </c>
      <c r="AB136" s="8">
        <f>Table2[[#This Row],[AWAY MARGIN]]/Table2[[#This Row],[AWAY GAMES]]</f>
        <v>-4.790909090909091</v>
      </c>
      <c r="AC136" s="8">
        <f>Table2[[#This Row],[HOME MARGIN/GAME]]-Table2[[#This Row],[AWAY MARGIN/GAME]]</f>
        <v>11.513800657174151</v>
      </c>
      <c r="AD136" s="23">
        <f>Table2[[#This Row],[HOME W/L%]]-Table2[[#This Row],[AWAY W/L%]]</f>
        <v>0.35699999999999993</v>
      </c>
      <c r="AE136" s="22"/>
      <c r="AF136"/>
    </row>
    <row r="137" spans="1:32" hidden="1" x14ac:dyDescent="0.2">
      <c r="A137" s="1">
        <v>249</v>
      </c>
      <c r="B137" s="1"/>
      <c r="C137" s="2" t="s">
        <v>246</v>
      </c>
      <c r="D137" s="2" t="str">
        <f>IF(COUNTIF($AG$3:$AG$20,C137)&gt;0,$AG$2,
 IF(COUNTIF($AH$3:$AH$20,C137)&gt;0,$AH$2,
 IF(COUNTIF($AI$3:$AI$20,C137)&gt;0,$AI$2,
 IF(COUNTIF($AJ$3:$AJ$20,C137)&gt;0,$AJ$2,
 IF(COUNTIF($AK$3:$AK$20,C137)&gt;0,$AK$2,
 IF(COUNTIF($AL$3:$AL$20,C137)&gt;0,$AL$2,
 IF(COUNTIF($AM$3:$AM$20,C137)&gt;0,$AM$2,"Not Found")))))))</f>
        <v>Not Found</v>
      </c>
      <c r="E137" s="2" t="s">
        <v>10</v>
      </c>
      <c r="F137" s="2" t="s">
        <v>11</v>
      </c>
      <c r="G137" s="2">
        <v>136</v>
      </c>
      <c r="H137" s="2">
        <v>736</v>
      </c>
      <c r="I137" s="2">
        <v>145</v>
      </c>
      <c r="J137" s="2">
        <v>-1535</v>
      </c>
      <c r="K137" s="4">
        <v>0.56599999999999995</v>
      </c>
      <c r="L137" s="4">
        <v>0.221</v>
      </c>
      <c r="M137" s="2">
        <v>105</v>
      </c>
      <c r="N137" s="2">
        <v>94.1</v>
      </c>
      <c r="O137" s="2">
        <v>97.5</v>
      </c>
      <c r="P137" s="2">
        <v>108.8</v>
      </c>
      <c r="Q137" s="4">
        <v>0.54300000000000004</v>
      </c>
      <c r="R137" s="4">
        <v>0.501</v>
      </c>
      <c r="S137" s="4">
        <v>0.52</v>
      </c>
      <c r="T137" s="4">
        <v>0.57299999999999995</v>
      </c>
      <c r="U137" s="19">
        <f>Table2[[#This Row],[NET PF]]/Table2[[#This Row],[HOME GAMES]]</f>
        <v>-0.97058823529411764</v>
      </c>
      <c r="V137" s="28">
        <f>393/Table2[[#This Row],[AWAY GAMES]]</f>
        <v>2.7103448275862068</v>
      </c>
      <c r="W137" s="4">
        <v>0.68</v>
      </c>
      <c r="X137" s="4">
        <v>0.7</v>
      </c>
      <c r="Y137" s="2">
        <v>-132</v>
      </c>
      <c r="Z137" s="2">
        <v>190</v>
      </c>
      <c r="AA137" s="8">
        <f>Table2[[#This Row],[HOME MARGIN]]/Table2[[#This Row],[HOME GAMES]]</f>
        <v>5.4117647058823533</v>
      </c>
      <c r="AB137" s="8">
        <f>Table2[[#This Row],[AWAY MARGIN]]/Table2[[#This Row],[AWAY GAMES]]</f>
        <v>-10.586206896551724</v>
      </c>
      <c r="AC137" s="8">
        <f>Table2[[#This Row],[HOME MARGIN/GAME]]-Table2[[#This Row],[AWAY MARGIN/GAME]]</f>
        <v>15.997971602434077</v>
      </c>
      <c r="AD137" s="23">
        <f>Table2[[#This Row],[HOME W/L%]]-Table2[[#This Row],[AWAY W/L%]]</f>
        <v>0.34499999999999997</v>
      </c>
      <c r="AE137" s="22"/>
      <c r="AF137"/>
    </row>
    <row r="138" spans="1:32" hidden="1" x14ac:dyDescent="0.2">
      <c r="A138" s="1">
        <v>89</v>
      </c>
      <c r="B138" s="1"/>
      <c r="C138" s="2" t="s">
        <v>91</v>
      </c>
      <c r="D138" s="2" t="str">
        <f>IF(COUNTIF($AG$3:$AG$20,C138)&gt;0,$AG$2,
 IF(COUNTIF($AH$3:$AH$20,C138)&gt;0,$AH$2,
 IF(COUNTIF($AI$3:$AI$20,C138)&gt;0,$AI$2,
 IF(COUNTIF($AJ$3:$AJ$20,C138)&gt;0,$AJ$2,
 IF(COUNTIF($AK$3:$AK$20,C138)&gt;0,$AK$2,
 IF(COUNTIF($AL$3:$AL$20,C138)&gt;0,$AL$2,
 IF(COUNTIF($AM$3:$AM$20,C138)&gt;0,$AM$2,"Not Found")))))))</f>
        <v>Not Found</v>
      </c>
      <c r="E138" s="2" t="s">
        <v>10</v>
      </c>
      <c r="F138" s="2" t="s">
        <v>11</v>
      </c>
      <c r="G138" s="2">
        <v>149</v>
      </c>
      <c r="H138" s="2">
        <v>1603</v>
      </c>
      <c r="I138" s="2">
        <v>129</v>
      </c>
      <c r="J138" s="2">
        <v>-222</v>
      </c>
      <c r="K138" s="4">
        <v>0.77900000000000003</v>
      </c>
      <c r="L138" s="4">
        <v>0.48799999999999999</v>
      </c>
      <c r="M138" s="2">
        <v>111</v>
      </c>
      <c r="N138" s="2">
        <v>99.8</v>
      </c>
      <c r="O138" s="2">
        <v>96.1</v>
      </c>
      <c r="P138" s="2">
        <v>102.2</v>
      </c>
      <c r="Q138" s="4">
        <v>0.56200000000000006</v>
      </c>
      <c r="R138" s="4">
        <v>0.51300000000000001</v>
      </c>
      <c r="S138" s="4">
        <v>0.52100000000000002</v>
      </c>
      <c r="T138" s="4">
        <v>0.54300000000000004</v>
      </c>
      <c r="U138" s="19">
        <f>Table2[[#This Row],[NET PF]]/Table2[[#This Row],[HOME GAMES]]</f>
        <v>-0.97986577181208057</v>
      </c>
      <c r="V138" s="28">
        <f>393/Table2[[#This Row],[AWAY GAMES]]</f>
        <v>3.0465116279069768</v>
      </c>
      <c r="W138" s="4">
        <v>0.71299999999999997</v>
      </c>
      <c r="X138" s="4">
        <v>0.72399999999999998</v>
      </c>
      <c r="Y138" s="2">
        <v>-146</v>
      </c>
      <c r="Z138" s="2">
        <v>252</v>
      </c>
      <c r="AA138" s="8">
        <f>Table2[[#This Row],[HOME MARGIN]]/Table2[[#This Row],[HOME GAMES]]</f>
        <v>10.758389261744966</v>
      </c>
      <c r="AB138" s="8">
        <f>Table2[[#This Row],[AWAY MARGIN]]/Table2[[#This Row],[AWAY GAMES]]</f>
        <v>-1.7209302325581395</v>
      </c>
      <c r="AC138" s="8">
        <f>Table2[[#This Row],[HOME MARGIN/GAME]]-Table2[[#This Row],[AWAY MARGIN/GAME]]</f>
        <v>12.479319494303105</v>
      </c>
      <c r="AD138" s="23">
        <f>Table2[[#This Row],[HOME W/L%]]-Table2[[#This Row],[AWAY W/L%]]</f>
        <v>0.29100000000000004</v>
      </c>
      <c r="AE138" s="22"/>
      <c r="AF138"/>
    </row>
    <row r="139" spans="1:32" x14ac:dyDescent="0.2">
      <c r="A139" s="1">
        <v>10</v>
      </c>
      <c r="B139" s="1">
        <v>8</v>
      </c>
      <c r="C139" s="37" t="s">
        <v>34</v>
      </c>
      <c r="D139" s="37" t="str">
        <f>IF(COUNTIF($AG$3:$AG$20,C139)&gt;0,$AG$2,
 IF(COUNTIF($AH$3:$AH$20,C139)&gt;0,$AH$2,
 IF(COUNTIF($AI$3:$AI$20,C139)&gt;0,$AI$2,
 IF(COUNTIF($AJ$3:$AJ$20,C139)&gt;0,$AJ$2,
 IF(COUNTIF($AK$3:$AK$20,C139)&gt;0,$AK$2,
 IF(COUNTIF($AL$3:$AL$20,C139)&gt;0,$AL$2,
 IF(COUNTIF($AM$3:$AM$20,C139)&gt;0,$AM$2,"Not Found")))))))</f>
        <v>SEC</v>
      </c>
      <c r="E139" s="37" t="s">
        <v>10</v>
      </c>
      <c r="F139" s="37" t="s">
        <v>11</v>
      </c>
      <c r="G139" s="37">
        <v>171</v>
      </c>
      <c r="H139" s="37">
        <v>2620</v>
      </c>
      <c r="I139" s="37">
        <v>103</v>
      </c>
      <c r="J139" s="37">
        <v>169</v>
      </c>
      <c r="K139" s="38">
        <v>0.86</v>
      </c>
      <c r="L139" s="38">
        <v>0.56299999999999994</v>
      </c>
      <c r="M139" s="37">
        <v>115.5</v>
      </c>
      <c r="N139" s="37">
        <v>105.1</v>
      </c>
      <c r="O139" s="37">
        <v>94.2</v>
      </c>
      <c r="P139" s="37">
        <v>102.8</v>
      </c>
      <c r="Q139" s="38">
        <v>0.58499999999999996</v>
      </c>
      <c r="R139" s="38">
        <v>0.54200000000000004</v>
      </c>
      <c r="S139" s="38">
        <v>0.499</v>
      </c>
      <c r="T139" s="38">
        <v>0.51900000000000002</v>
      </c>
      <c r="U139" s="39">
        <f>Table2[[#This Row],[NET PF]]/Table2[[#This Row],[HOME GAMES]]</f>
        <v>-3.4210526315789473</v>
      </c>
      <c r="V139" s="40">
        <f>393/Table2[[#This Row],[AWAY GAMES]]</f>
        <v>3.8155339805825244</v>
      </c>
      <c r="W139" s="38">
        <v>0.70899999999999996</v>
      </c>
      <c r="X139" s="38">
        <v>0.70199999999999996</v>
      </c>
      <c r="Y139" s="37">
        <v>-585</v>
      </c>
      <c r="Z139" s="37">
        <v>167</v>
      </c>
      <c r="AA139" s="8">
        <f>Table2[[#This Row],[HOME MARGIN]]/Table2[[#This Row],[HOME GAMES]]</f>
        <v>15.321637426900585</v>
      </c>
      <c r="AB139" s="8">
        <f>Table2[[#This Row],[AWAY MARGIN]]/Table2[[#This Row],[AWAY GAMES]]</f>
        <v>1.6407766990291262</v>
      </c>
      <c r="AC139" s="8">
        <f>Table2[[#This Row],[HOME MARGIN/GAME]]-Table2[[#This Row],[AWAY MARGIN/GAME]]</f>
        <v>13.680860727871458</v>
      </c>
      <c r="AD139" s="23">
        <f>Table2[[#This Row],[HOME W/L%]]-Table2[[#This Row],[AWAY W/L%]]</f>
        <v>0.29700000000000004</v>
      </c>
      <c r="AE139" s="22"/>
      <c r="AF139"/>
    </row>
    <row r="140" spans="1:32" hidden="1" x14ac:dyDescent="0.2">
      <c r="A140" s="1">
        <v>332</v>
      </c>
      <c r="B140" s="1"/>
      <c r="C140" s="2" t="s">
        <v>299</v>
      </c>
      <c r="D140" s="2" t="str">
        <f>IF(COUNTIF($AG$3:$AG$20,C140)&gt;0,$AG$2,
 IF(COUNTIF($AH$3:$AH$20,C140)&gt;0,$AH$2,
 IF(COUNTIF($AI$3:$AI$20,C140)&gt;0,$AI$2,
 IF(COUNTIF($AJ$3:$AJ$20,C140)&gt;0,$AJ$2,
 IF(COUNTIF($AK$3:$AK$20,C140)&gt;0,$AK$2,
 IF(COUNTIF($AL$3:$AL$20,C140)&gt;0,$AL$2,
 IF(COUNTIF($AM$3:$AM$20,C140)&gt;0,$AM$2,"Not Found")))))))</f>
        <v>Not Found</v>
      </c>
      <c r="E140" s="2" t="s">
        <v>10</v>
      </c>
      <c r="F140" s="2" t="s">
        <v>11</v>
      </c>
      <c r="G140" s="2">
        <v>146</v>
      </c>
      <c r="H140" s="2">
        <v>249</v>
      </c>
      <c r="I140" s="2">
        <v>124</v>
      </c>
      <c r="J140" s="2">
        <v>-1076</v>
      </c>
      <c r="K140" s="4">
        <v>0.57499999999999996</v>
      </c>
      <c r="L140" s="4">
        <v>0.23400000000000001</v>
      </c>
      <c r="M140" s="2">
        <v>102.8</v>
      </c>
      <c r="N140" s="2">
        <v>94.9</v>
      </c>
      <c r="O140" s="2">
        <v>100.4</v>
      </c>
      <c r="P140" s="2">
        <v>107</v>
      </c>
      <c r="Q140" s="4">
        <v>0.53900000000000003</v>
      </c>
      <c r="R140" s="4">
        <v>0.504</v>
      </c>
      <c r="S140" s="4">
        <v>0.53600000000000003</v>
      </c>
      <c r="T140" s="4">
        <v>0.56100000000000005</v>
      </c>
      <c r="U140" s="19">
        <f>Table2[[#This Row],[NET PF]]/Table2[[#This Row],[HOME GAMES]]</f>
        <v>-0.42465753424657532</v>
      </c>
      <c r="V140" s="28">
        <f>393/Table2[[#This Row],[AWAY GAMES]]</f>
        <v>3.1693548387096775</v>
      </c>
      <c r="W140" s="4">
        <v>0.71</v>
      </c>
      <c r="X140" s="4">
        <v>0.71299999999999997</v>
      </c>
      <c r="Y140" s="2">
        <v>-62</v>
      </c>
      <c r="Z140" s="2">
        <v>421</v>
      </c>
      <c r="AA140" s="8">
        <f>Table2[[#This Row],[HOME MARGIN]]/Table2[[#This Row],[HOME GAMES]]</f>
        <v>1.7054794520547945</v>
      </c>
      <c r="AB140" s="8">
        <f>Table2[[#This Row],[AWAY MARGIN]]/Table2[[#This Row],[AWAY GAMES]]</f>
        <v>-8.67741935483871</v>
      </c>
      <c r="AC140" s="8">
        <f>Table2[[#This Row],[HOME MARGIN/GAME]]-Table2[[#This Row],[AWAY MARGIN/GAME]]</f>
        <v>10.382898806893504</v>
      </c>
      <c r="AD140" s="23">
        <f>Table2[[#This Row],[HOME W/L%]]-Table2[[#This Row],[AWAY W/L%]]</f>
        <v>0.34099999999999997</v>
      </c>
      <c r="AE140" s="22"/>
      <c r="AF140"/>
    </row>
    <row r="141" spans="1:32" hidden="1" x14ac:dyDescent="0.2">
      <c r="A141" s="1">
        <v>356</v>
      </c>
      <c r="B141" s="1"/>
      <c r="C141" s="2" t="s">
        <v>308</v>
      </c>
      <c r="D141" s="2" t="str">
        <f>IF(COUNTIF($AG$3:$AG$20,C141)&gt;0,$AG$2,
 IF(COUNTIF($AH$3:$AH$20,C141)&gt;0,$AH$2,
 IF(COUNTIF($AI$3:$AI$20,C141)&gt;0,$AI$2,
 IF(COUNTIF($AJ$3:$AJ$20,C141)&gt;0,$AJ$2,
 IF(COUNTIF($AK$3:$AK$20,C141)&gt;0,$AK$2,
 IF(COUNTIF($AL$3:$AL$20,C141)&gt;0,$AL$2,
 IF(COUNTIF($AM$3:$AM$20,C141)&gt;0,$AM$2,"Not Found")))))))</f>
        <v>Not Found</v>
      </c>
      <c r="E141" s="2" t="s">
        <v>10</v>
      </c>
      <c r="F141" s="2" t="s">
        <v>11</v>
      </c>
      <c r="G141" s="2">
        <v>131</v>
      </c>
      <c r="H141" s="2">
        <v>-3</v>
      </c>
      <c r="I141" s="2">
        <v>146</v>
      </c>
      <c r="J141" s="2">
        <v>-1017</v>
      </c>
      <c r="K141" s="4">
        <v>0.45</v>
      </c>
      <c r="L141" s="4">
        <v>0.29499999999999998</v>
      </c>
      <c r="M141" s="2">
        <v>102.1</v>
      </c>
      <c r="N141" s="2">
        <v>96.3</v>
      </c>
      <c r="O141" s="2">
        <v>102.1</v>
      </c>
      <c r="P141" s="2">
        <v>106.4</v>
      </c>
      <c r="Q141" s="4">
        <v>0.54400000000000004</v>
      </c>
      <c r="R141" s="4">
        <v>0.52300000000000002</v>
      </c>
      <c r="S141" s="4">
        <v>0.53200000000000003</v>
      </c>
      <c r="T141" s="4">
        <v>0.54700000000000004</v>
      </c>
      <c r="U141" s="19">
        <f>Table2[[#This Row],[NET PF]]/Table2[[#This Row],[HOME GAMES]]</f>
        <v>1.5267175572519083E-2</v>
      </c>
      <c r="V141" s="28">
        <f>393/Table2[[#This Row],[AWAY GAMES]]</f>
        <v>2.6917808219178081</v>
      </c>
      <c r="W141" s="4">
        <v>0.70499999999999996</v>
      </c>
      <c r="X141" s="4">
        <v>0.70499999999999996</v>
      </c>
      <c r="Y141" s="2">
        <v>2</v>
      </c>
      <c r="Z141" s="2">
        <v>121</v>
      </c>
      <c r="AA141" s="8">
        <f>Table2[[#This Row],[HOME MARGIN]]/Table2[[#This Row],[HOME GAMES]]</f>
        <v>-2.2900763358778626E-2</v>
      </c>
      <c r="AB141" s="8">
        <f>Table2[[#This Row],[AWAY MARGIN]]/Table2[[#This Row],[AWAY GAMES]]</f>
        <v>-6.9657534246575343</v>
      </c>
      <c r="AC141" s="8">
        <f>Table2[[#This Row],[HOME MARGIN/GAME]]-Table2[[#This Row],[AWAY MARGIN/GAME]]</f>
        <v>6.9428526612987556</v>
      </c>
      <c r="AD141" s="23">
        <f>Table2[[#This Row],[HOME W/L%]]-Table2[[#This Row],[AWAY W/L%]]</f>
        <v>0.15500000000000003</v>
      </c>
      <c r="AE141" s="22"/>
      <c r="AF141"/>
    </row>
    <row r="142" spans="1:32" hidden="1" x14ac:dyDescent="0.2">
      <c r="A142" s="1">
        <v>137</v>
      </c>
      <c r="B142" s="1"/>
      <c r="C142" s="2" t="s">
        <v>309</v>
      </c>
      <c r="D142" s="2" t="str">
        <f>IF(COUNTIF($AG$3:$AG$20,C142)&gt;0,$AG$2,
 IF(COUNTIF($AH$3:$AH$20,C142)&gt;0,$AH$2,
 IF(COUNTIF($AI$3:$AI$20,C142)&gt;0,$AI$2,
 IF(COUNTIF($AJ$3:$AJ$20,C142)&gt;0,$AJ$2,
 IF(COUNTIF($AK$3:$AK$20,C142)&gt;0,$AK$2,
 IF(COUNTIF($AL$3:$AL$20,C142)&gt;0,$AL$2,
 IF(COUNTIF($AM$3:$AM$20,C142)&gt;0,$AM$2,"Not Found")))))))</f>
        <v>Not Found</v>
      </c>
      <c r="E142" s="2" t="s">
        <v>10</v>
      </c>
      <c r="F142" s="2" t="s">
        <v>11</v>
      </c>
      <c r="G142" s="2">
        <v>140</v>
      </c>
      <c r="H142" s="2">
        <v>1327</v>
      </c>
      <c r="I142" s="2">
        <v>152</v>
      </c>
      <c r="J142" s="2">
        <v>-1009</v>
      </c>
      <c r="K142" s="4">
        <v>0.621</v>
      </c>
      <c r="L142" s="4">
        <v>0.32200000000000001</v>
      </c>
      <c r="M142" s="2">
        <v>105.8</v>
      </c>
      <c r="N142" s="2">
        <v>95.9</v>
      </c>
      <c r="O142" s="2">
        <v>92.7</v>
      </c>
      <c r="P142" s="2">
        <v>105.2</v>
      </c>
      <c r="Q142" s="4">
        <v>0.54100000000000004</v>
      </c>
      <c r="R142" s="4">
        <v>0.50600000000000001</v>
      </c>
      <c r="S142" s="4">
        <v>0.51100000000000001</v>
      </c>
      <c r="T142" s="4">
        <v>0.55700000000000005</v>
      </c>
      <c r="U142" s="19">
        <f>Table2[[#This Row],[NET PF]]/Table2[[#This Row],[HOME GAMES]]</f>
        <v>-1.6857142857142857</v>
      </c>
      <c r="V142" s="28">
        <f>393/Table2[[#This Row],[AWAY GAMES]]</f>
        <v>2.5855263157894739</v>
      </c>
      <c r="W142" s="4">
        <v>0.67800000000000005</v>
      </c>
      <c r="X142" s="4">
        <v>0.70399999999999996</v>
      </c>
      <c r="Y142" s="2">
        <v>-236</v>
      </c>
      <c r="Z142" s="2">
        <v>228</v>
      </c>
      <c r="AA142" s="8">
        <f>Table2[[#This Row],[HOME MARGIN]]/Table2[[#This Row],[HOME GAMES]]</f>
        <v>9.4785714285714278</v>
      </c>
      <c r="AB142" s="8">
        <f>Table2[[#This Row],[AWAY MARGIN]]/Table2[[#This Row],[AWAY GAMES]]</f>
        <v>-6.6381578947368425</v>
      </c>
      <c r="AC142" s="8">
        <f>Table2[[#This Row],[HOME MARGIN/GAME]]-Table2[[#This Row],[AWAY MARGIN/GAME]]</f>
        <v>16.11672932330827</v>
      </c>
      <c r="AD142" s="23">
        <f>Table2[[#This Row],[HOME W/L%]]-Table2[[#This Row],[AWAY W/L%]]</f>
        <v>0.29899999999999999</v>
      </c>
      <c r="AE142" s="22"/>
      <c r="AF142"/>
    </row>
    <row r="143" spans="1:32" hidden="1" x14ac:dyDescent="0.2">
      <c r="A143" s="1">
        <v>336</v>
      </c>
      <c r="B143" s="1"/>
      <c r="C143" s="2" t="s">
        <v>131</v>
      </c>
      <c r="D143" s="2" t="str">
        <f>IF(COUNTIF($AG$3:$AG$20,C143)&gt;0,$AG$2,
 IF(COUNTIF($AH$3:$AH$20,C143)&gt;0,$AH$2,
 IF(COUNTIF($AI$3:$AI$20,C143)&gt;0,$AI$2,
 IF(COUNTIF($AJ$3:$AJ$20,C143)&gt;0,$AJ$2,
 IF(COUNTIF($AK$3:$AK$20,C143)&gt;0,$AK$2,
 IF(COUNTIF($AL$3:$AL$20,C143)&gt;0,$AL$2,
 IF(COUNTIF($AM$3:$AM$20,C143)&gt;0,$AM$2,"Not Found")))))))</f>
        <v>Not Found</v>
      </c>
      <c r="E143" s="2" t="s">
        <v>132</v>
      </c>
      <c r="F143" s="2" t="s">
        <v>11</v>
      </c>
      <c r="G143" s="2">
        <v>25</v>
      </c>
      <c r="H143" s="2">
        <v>231</v>
      </c>
      <c r="I143" s="2">
        <v>35</v>
      </c>
      <c r="J143" s="2">
        <v>-357</v>
      </c>
      <c r="K143" s="4">
        <v>0.6</v>
      </c>
      <c r="L143" s="4">
        <v>0.2</v>
      </c>
      <c r="M143" s="2">
        <v>110.8</v>
      </c>
      <c r="N143" s="2">
        <v>99</v>
      </c>
      <c r="O143" s="2">
        <v>98</v>
      </c>
      <c r="P143" s="2">
        <v>113.6</v>
      </c>
      <c r="Q143" s="4">
        <v>0.57299999999999995</v>
      </c>
      <c r="R143" s="4">
        <v>0.53900000000000003</v>
      </c>
      <c r="S143" s="4">
        <v>0.51</v>
      </c>
      <c r="T143" s="4">
        <v>0.58199999999999996</v>
      </c>
      <c r="U143" s="19">
        <f>Table2[[#This Row],[NET PF]]/Table2[[#This Row],[HOME GAMES]]</f>
        <v>1.24</v>
      </c>
      <c r="V143" s="28">
        <f>393/Table2[[#This Row],[AWAY GAMES]]</f>
        <v>11.228571428571428</v>
      </c>
      <c r="W143" s="4">
        <v>0.74</v>
      </c>
      <c r="X143" s="4">
        <v>0.70299999999999996</v>
      </c>
      <c r="Y143" s="2">
        <v>31</v>
      </c>
      <c r="Z143" s="2">
        <v>84</v>
      </c>
      <c r="AA143" s="8">
        <f>Table2[[#This Row],[HOME MARGIN]]/Table2[[#This Row],[HOME GAMES]]</f>
        <v>9.24</v>
      </c>
      <c r="AB143" s="8">
        <f>Table2[[#This Row],[AWAY MARGIN]]/Table2[[#This Row],[AWAY GAMES]]</f>
        <v>-10.199999999999999</v>
      </c>
      <c r="AC143" s="8">
        <f>Table2[[#This Row],[HOME MARGIN/GAME]]-Table2[[#This Row],[AWAY MARGIN/GAME]]</f>
        <v>19.439999999999998</v>
      </c>
      <c r="AD143" s="23">
        <f>Table2[[#This Row],[HOME W/L%]]-Table2[[#This Row],[AWAY W/L%]]</f>
        <v>0.39999999999999997</v>
      </c>
      <c r="AE143" s="22"/>
      <c r="AF143"/>
    </row>
    <row r="144" spans="1:32" hidden="1" x14ac:dyDescent="0.2">
      <c r="A144" s="1">
        <v>268</v>
      </c>
      <c r="B144" s="1"/>
      <c r="C144" s="2" t="s">
        <v>208</v>
      </c>
      <c r="D144" s="2" t="str">
        <f>IF(COUNTIF($AG$3:$AG$20,C144)&gt;0,$AG$2,
 IF(COUNTIF($AH$3:$AH$20,C144)&gt;0,$AH$2,
 IF(COUNTIF($AI$3:$AI$20,C144)&gt;0,$AI$2,
 IF(COUNTIF($AJ$3:$AJ$20,C144)&gt;0,$AJ$2,
 IF(COUNTIF($AK$3:$AK$20,C144)&gt;0,$AK$2,
 IF(COUNTIF($AL$3:$AL$20,C144)&gt;0,$AL$2,
 IF(COUNTIF($AM$3:$AM$20,C144)&gt;0,$AM$2,"Not Found")))))))</f>
        <v>Not Found</v>
      </c>
      <c r="E144" s="2" t="s">
        <v>10</v>
      </c>
      <c r="F144" s="2" t="s">
        <v>11</v>
      </c>
      <c r="G144" s="2">
        <v>127</v>
      </c>
      <c r="H144" s="2">
        <v>636</v>
      </c>
      <c r="I144" s="2">
        <v>150</v>
      </c>
      <c r="J144" s="2">
        <v>-625</v>
      </c>
      <c r="K144" s="4">
        <v>0.60599999999999998</v>
      </c>
      <c r="L144" s="4">
        <v>0.373</v>
      </c>
      <c r="M144" s="2">
        <v>104.6</v>
      </c>
      <c r="N144" s="2">
        <v>98.9</v>
      </c>
      <c r="O144" s="2">
        <v>97.7</v>
      </c>
      <c r="P144" s="2">
        <v>104.8</v>
      </c>
      <c r="Q144" s="4">
        <v>0.57299999999999995</v>
      </c>
      <c r="R144" s="4">
        <v>0.53800000000000003</v>
      </c>
      <c r="S144" s="4">
        <v>0.51800000000000002</v>
      </c>
      <c r="T144" s="4">
        <v>0.54800000000000004</v>
      </c>
      <c r="U144" s="19">
        <f>Table2[[#This Row],[NET PF]]/Table2[[#This Row],[HOME GAMES]]</f>
        <v>-0.25196850393700787</v>
      </c>
      <c r="V144" s="28">
        <f>393/Table2[[#This Row],[AWAY GAMES]]</f>
        <v>2.62</v>
      </c>
      <c r="W144" s="4">
        <v>0.72</v>
      </c>
      <c r="X144" s="4">
        <v>0.71699999999999997</v>
      </c>
      <c r="Y144" s="2">
        <v>-32</v>
      </c>
      <c r="Z144" s="2">
        <v>256</v>
      </c>
      <c r="AA144" s="8">
        <f>Table2[[#This Row],[HOME MARGIN]]/Table2[[#This Row],[HOME GAMES]]</f>
        <v>5.0078740157480315</v>
      </c>
      <c r="AB144" s="8">
        <f>Table2[[#This Row],[AWAY MARGIN]]/Table2[[#This Row],[AWAY GAMES]]</f>
        <v>-4.166666666666667</v>
      </c>
      <c r="AC144" s="8">
        <f>Table2[[#This Row],[HOME MARGIN/GAME]]-Table2[[#This Row],[AWAY MARGIN/GAME]]</f>
        <v>9.1745406824146976</v>
      </c>
      <c r="AD144" s="23">
        <f>Table2[[#This Row],[HOME W/L%]]-Table2[[#This Row],[AWAY W/L%]]</f>
        <v>0.23299999999999998</v>
      </c>
      <c r="AE144" s="22"/>
      <c r="AF144"/>
    </row>
    <row r="145" spans="1:32" hidden="1" x14ac:dyDescent="0.2">
      <c r="A145" s="1">
        <v>6</v>
      </c>
      <c r="B145" s="1"/>
      <c r="C145" s="2" t="s">
        <v>26</v>
      </c>
      <c r="D145" s="2" t="str">
        <f>IF(COUNTIF($AG$3:$AG$20,C145)&gt;0,$AG$2,
 IF(COUNTIF($AH$3:$AH$20,C145)&gt;0,$AH$2,
 IF(COUNTIF($AI$3:$AI$20,C145)&gt;0,$AI$2,
 IF(COUNTIF($AJ$3:$AJ$20,C145)&gt;0,$AJ$2,
 IF(COUNTIF($AK$3:$AK$20,C145)&gt;0,$AK$2,
 IF(COUNTIF($AL$3:$AL$20,C145)&gt;0,$AL$2,
 IF(COUNTIF($AM$3:$AM$20,C145)&gt;0,$AM$2,"Not Found")))))))</f>
        <v>Not Found</v>
      </c>
      <c r="E145" s="2" t="s">
        <v>10</v>
      </c>
      <c r="F145" s="2" t="s">
        <v>11</v>
      </c>
      <c r="G145" s="2">
        <v>151</v>
      </c>
      <c r="H145" s="2">
        <v>2710</v>
      </c>
      <c r="I145" s="2">
        <v>112</v>
      </c>
      <c r="J145" s="2">
        <v>241</v>
      </c>
      <c r="K145" s="4">
        <v>0.82099999999999995</v>
      </c>
      <c r="L145" s="4">
        <v>0.56299999999999994</v>
      </c>
      <c r="M145" s="2">
        <v>113.4</v>
      </c>
      <c r="N145" s="2">
        <v>104.5</v>
      </c>
      <c r="O145" s="2">
        <v>86.3</v>
      </c>
      <c r="P145" s="2">
        <v>101.3</v>
      </c>
      <c r="Q145" s="4">
        <v>0.59899999999999998</v>
      </c>
      <c r="R145" s="4">
        <v>0.57099999999999995</v>
      </c>
      <c r="S145" s="4">
        <v>0.48099999999999998</v>
      </c>
      <c r="T145" s="4">
        <v>0.54100000000000004</v>
      </c>
      <c r="U145" s="19">
        <f>Table2[[#This Row],[NET PF]]/Table2[[#This Row],[HOME GAMES]]</f>
        <v>-1.5695364238410596</v>
      </c>
      <c r="V145" s="28">
        <f>393/Table2[[#This Row],[AWAY GAMES]]</f>
        <v>3.5089285714285716</v>
      </c>
      <c r="W145" s="4">
        <v>0.69299999999999995</v>
      </c>
      <c r="X145" s="4">
        <v>0.71499999999999997</v>
      </c>
      <c r="Y145" s="2">
        <v>-237</v>
      </c>
      <c r="Z145" s="2">
        <v>178</v>
      </c>
      <c r="AA145" s="8">
        <f>Table2[[#This Row],[HOME MARGIN]]/Table2[[#This Row],[HOME GAMES]]</f>
        <v>17.94701986754967</v>
      </c>
      <c r="AB145" s="8">
        <f>Table2[[#This Row],[AWAY MARGIN]]/Table2[[#This Row],[AWAY GAMES]]</f>
        <v>2.1517857142857144</v>
      </c>
      <c r="AC145" s="8">
        <f>Table2[[#This Row],[HOME MARGIN/GAME]]-Table2[[#This Row],[AWAY MARGIN/GAME]]</f>
        <v>15.795234153263955</v>
      </c>
      <c r="AD145" s="23">
        <f>Table2[[#This Row],[HOME W/L%]]-Table2[[#This Row],[AWAY W/L%]]</f>
        <v>0.25800000000000001</v>
      </c>
      <c r="AE145" s="22"/>
      <c r="AF145"/>
    </row>
    <row r="146" spans="1:32" hidden="1" x14ac:dyDescent="0.2">
      <c r="A146" s="1">
        <v>329</v>
      </c>
      <c r="B146" s="1"/>
      <c r="C146" s="2" t="s">
        <v>212</v>
      </c>
      <c r="D146" s="2" t="str">
        <f>IF(COUNTIF($AG$3:$AG$20,C146)&gt;0,$AG$2,
 IF(COUNTIF($AH$3:$AH$20,C146)&gt;0,$AH$2,
 IF(COUNTIF($AI$3:$AI$20,C146)&gt;0,$AI$2,
 IF(COUNTIF($AJ$3:$AJ$20,C146)&gt;0,$AJ$2,
 IF(COUNTIF($AK$3:$AK$20,C146)&gt;0,$AK$2,
 IF(COUNTIF($AL$3:$AL$20,C146)&gt;0,$AL$2,
 IF(COUNTIF($AM$3:$AM$20,C146)&gt;0,$AM$2,"Not Found")))))))</f>
        <v>Not Found</v>
      </c>
      <c r="E146" s="2" t="s">
        <v>113</v>
      </c>
      <c r="F146" s="2" t="s">
        <v>11</v>
      </c>
      <c r="G146" s="2">
        <v>41</v>
      </c>
      <c r="H146" s="2">
        <v>268</v>
      </c>
      <c r="I146" s="2">
        <v>46</v>
      </c>
      <c r="J146" s="2">
        <v>-634</v>
      </c>
      <c r="K146" s="4">
        <v>0.58499999999999996</v>
      </c>
      <c r="L146" s="4">
        <v>0.17399999999999999</v>
      </c>
      <c r="M146" s="2">
        <v>105.5</v>
      </c>
      <c r="N146" s="2">
        <v>88.6</v>
      </c>
      <c r="O146" s="2">
        <v>96.3</v>
      </c>
      <c r="P146" s="2">
        <v>108.1</v>
      </c>
      <c r="Q146" s="4">
        <v>0.54200000000000004</v>
      </c>
      <c r="R146" s="4">
        <v>0.47699999999999998</v>
      </c>
      <c r="S146" s="4">
        <v>0.51600000000000001</v>
      </c>
      <c r="T146" s="4">
        <v>0.56999999999999995</v>
      </c>
      <c r="U146" s="19">
        <f>Table2[[#This Row],[NET PF]]/Table2[[#This Row],[HOME GAMES]]</f>
        <v>-2.1951219512195124</v>
      </c>
      <c r="V146" s="28">
        <f>393/Table2[[#This Row],[AWAY GAMES]]</f>
        <v>8.5434782608695645</v>
      </c>
      <c r="W146" s="4">
        <v>0.69499999999999995</v>
      </c>
      <c r="X146" s="4">
        <v>0.71399999999999997</v>
      </c>
      <c r="Y146" s="2">
        <v>-90</v>
      </c>
      <c r="Z146" s="2">
        <v>14</v>
      </c>
      <c r="AA146" s="8">
        <f>Table2[[#This Row],[HOME MARGIN]]/Table2[[#This Row],[HOME GAMES]]</f>
        <v>6.5365853658536581</v>
      </c>
      <c r="AB146" s="8">
        <f>Table2[[#This Row],[AWAY MARGIN]]/Table2[[#This Row],[AWAY GAMES]]</f>
        <v>-13.782608695652174</v>
      </c>
      <c r="AC146" s="8">
        <f>Table2[[#This Row],[HOME MARGIN/GAME]]-Table2[[#This Row],[AWAY MARGIN/GAME]]</f>
        <v>20.319194061505833</v>
      </c>
      <c r="AD146" s="23">
        <f>Table2[[#This Row],[HOME W/L%]]-Table2[[#This Row],[AWAY W/L%]]</f>
        <v>0.41099999999999998</v>
      </c>
      <c r="AE146" s="22"/>
      <c r="AF146"/>
    </row>
    <row r="147" spans="1:32" hidden="1" x14ac:dyDescent="0.2">
      <c r="A147" s="1">
        <v>86</v>
      </c>
      <c r="B147" s="1"/>
      <c r="C147" s="2" t="s">
        <v>85</v>
      </c>
      <c r="D147" s="2" t="str">
        <f>IF(COUNTIF($AG$3:$AG$20,C147)&gt;0,$AG$2,
 IF(COUNTIF($AH$3:$AH$20,C147)&gt;0,$AH$2,
 IF(COUNTIF($AI$3:$AI$20,C147)&gt;0,$AI$2,
 IF(COUNTIF($AJ$3:$AJ$20,C147)&gt;0,$AJ$2,
 IF(COUNTIF($AK$3:$AK$20,C147)&gt;0,$AK$2,
 IF(COUNTIF($AL$3:$AL$20,C147)&gt;0,$AL$2,
 IF(COUNTIF($AM$3:$AM$20,C147)&gt;0,$AM$2,"Not Found")))))))</f>
        <v>Not Found</v>
      </c>
      <c r="E147" s="2" t="s">
        <v>10</v>
      </c>
      <c r="F147" s="2" t="s">
        <v>11</v>
      </c>
      <c r="G147" s="2">
        <v>140</v>
      </c>
      <c r="H147" s="2">
        <v>1611</v>
      </c>
      <c r="I147" s="2">
        <v>148</v>
      </c>
      <c r="J147" s="2">
        <v>-180</v>
      </c>
      <c r="K147" s="4">
        <v>0.72899999999999998</v>
      </c>
      <c r="L147" s="4">
        <v>0.45900000000000002</v>
      </c>
      <c r="M147" s="2">
        <v>112.7</v>
      </c>
      <c r="N147" s="2">
        <v>101.9</v>
      </c>
      <c r="O147" s="2">
        <v>97.1</v>
      </c>
      <c r="P147" s="2">
        <v>103.6</v>
      </c>
      <c r="Q147" s="4">
        <v>0.58699999999999997</v>
      </c>
      <c r="R147" s="4">
        <v>0.55600000000000005</v>
      </c>
      <c r="S147" s="4">
        <v>0.51600000000000001</v>
      </c>
      <c r="T147" s="4">
        <v>0.54500000000000004</v>
      </c>
      <c r="U147" s="19">
        <f>Table2[[#This Row],[NET PF]]/Table2[[#This Row],[HOME GAMES]]</f>
        <v>-3.2714285714285714</v>
      </c>
      <c r="V147" s="28">
        <f>393/Table2[[#This Row],[AWAY GAMES]]</f>
        <v>2.6554054054054053</v>
      </c>
      <c r="W147" s="4">
        <v>0.70599999999999996</v>
      </c>
      <c r="X147" s="4">
        <v>0.70799999999999996</v>
      </c>
      <c r="Y147" s="2">
        <v>-458</v>
      </c>
      <c r="Z147" s="2">
        <v>-66</v>
      </c>
      <c r="AA147" s="8">
        <f>Table2[[#This Row],[HOME MARGIN]]/Table2[[#This Row],[HOME GAMES]]</f>
        <v>11.507142857142858</v>
      </c>
      <c r="AB147" s="8">
        <f>Table2[[#This Row],[AWAY MARGIN]]/Table2[[#This Row],[AWAY GAMES]]</f>
        <v>-1.2162162162162162</v>
      </c>
      <c r="AC147" s="8">
        <f>Table2[[#This Row],[HOME MARGIN/GAME]]-Table2[[#This Row],[AWAY MARGIN/GAME]]</f>
        <v>12.723359073359074</v>
      </c>
      <c r="AD147" s="23">
        <f>Table2[[#This Row],[HOME W/L%]]-Table2[[#This Row],[AWAY W/L%]]</f>
        <v>0.26999999999999996</v>
      </c>
      <c r="AE147" s="22"/>
      <c r="AF147"/>
    </row>
    <row r="148" spans="1:32" hidden="1" x14ac:dyDescent="0.2">
      <c r="A148" s="1">
        <v>210</v>
      </c>
      <c r="B148" s="1"/>
      <c r="C148" s="2" t="s">
        <v>363</v>
      </c>
      <c r="D148" s="2" t="str">
        <f>IF(COUNTIF($AG$3:$AG$20,C148)&gt;0,$AG$2,
 IF(COUNTIF($AH$3:$AH$20,C148)&gt;0,$AH$2,
 IF(COUNTIF($AI$3:$AI$20,C148)&gt;0,$AI$2,
 IF(COUNTIF($AJ$3:$AJ$20,C148)&gt;0,$AJ$2,
 IF(COUNTIF($AK$3:$AK$20,C148)&gt;0,$AK$2,
 IF(COUNTIF($AL$3:$AL$20,C148)&gt;0,$AL$2,
 IF(COUNTIF($AM$3:$AM$20,C148)&gt;0,$AM$2,"Not Found")))))))</f>
        <v>Not Found</v>
      </c>
      <c r="E148" s="2" t="s">
        <v>10</v>
      </c>
      <c r="F148" s="2" t="s">
        <v>11</v>
      </c>
      <c r="G148" s="2">
        <v>144</v>
      </c>
      <c r="H148" s="2">
        <v>928</v>
      </c>
      <c r="I148" s="2">
        <v>143</v>
      </c>
      <c r="J148" s="2">
        <v>-735</v>
      </c>
      <c r="K148" s="4">
        <v>0.63900000000000001</v>
      </c>
      <c r="L148" s="4">
        <v>0.34300000000000003</v>
      </c>
      <c r="M148" s="2">
        <v>105.6</v>
      </c>
      <c r="N148" s="2">
        <v>96.8</v>
      </c>
      <c r="O148" s="2">
        <v>96.5</v>
      </c>
      <c r="P148" s="2">
        <v>104.2</v>
      </c>
      <c r="Q148" s="4">
        <v>0.55900000000000005</v>
      </c>
      <c r="R148" s="4">
        <v>0.52600000000000002</v>
      </c>
      <c r="S148" s="4">
        <v>0.52100000000000002</v>
      </c>
      <c r="T148" s="4">
        <v>0.54900000000000004</v>
      </c>
      <c r="U148" s="19">
        <f>Table2[[#This Row],[NET PF]]/Table2[[#This Row],[HOME GAMES]]</f>
        <v>-1.5555555555555556</v>
      </c>
      <c r="V148" s="28">
        <f>393/Table2[[#This Row],[AWAY GAMES]]</f>
        <v>2.7482517482517483</v>
      </c>
      <c r="W148" s="4">
        <v>0.70399999999999996</v>
      </c>
      <c r="X148" s="4">
        <v>0.7</v>
      </c>
      <c r="Y148" s="2">
        <v>-224</v>
      </c>
      <c r="Z148" s="2">
        <v>304</v>
      </c>
      <c r="AA148" s="8">
        <f>Table2[[#This Row],[HOME MARGIN]]/Table2[[#This Row],[HOME GAMES]]</f>
        <v>6.4444444444444446</v>
      </c>
      <c r="AB148" s="8">
        <f>Table2[[#This Row],[AWAY MARGIN]]/Table2[[#This Row],[AWAY GAMES]]</f>
        <v>-5.13986013986014</v>
      </c>
      <c r="AC148" s="8">
        <f>Table2[[#This Row],[HOME MARGIN/GAME]]-Table2[[#This Row],[AWAY MARGIN/GAME]]</f>
        <v>11.584304584304585</v>
      </c>
      <c r="AD148" s="23">
        <f>Table2[[#This Row],[HOME W/L%]]-Table2[[#This Row],[AWAY W/L%]]</f>
        <v>0.29599999999999999</v>
      </c>
      <c r="AE148" s="22"/>
      <c r="AF148"/>
    </row>
    <row r="149" spans="1:32" hidden="1" x14ac:dyDescent="0.2">
      <c r="A149" s="1">
        <v>277</v>
      </c>
      <c r="B149" s="1"/>
      <c r="C149" s="2" t="s">
        <v>320</v>
      </c>
      <c r="D149" s="2" t="str">
        <f>IF(COUNTIF($AG$3:$AG$20,C149)&gt;0,$AG$2,
 IF(COUNTIF($AH$3:$AH$20,C149)&gt;0,$AH$2,
 IF(COUNTIF($AI$3:$AI$20,C149)&gt;0,$AI$2,
 IF(COUNTIF($AJ$3:$AJ$20,C149)&gt;0,$AJ$2,
 IF(COUNTIF($AK$3:$AK$20,C149)&gt;0,$AK$2,
 IF(COUNTIF($AL$3:$AL$20,C149)&gt;0,$AL$2,
 IF(COUNTIF($AM$3:$AM$20,C149)&gt;0,$AM$2,"Not Found")))))))</f>
        <v>Not Found</v>
      </c>
      <c r="E149" s="2" t="s">
        <v>10</v>
      </c>
      <c r="F149" s="2" t="s">
        <v>11</v>
      </c>
      <c r="G149" s="2">
        <v>122</v>
      </c>
      <c r="H149" s="2">
        <v>584</v>
      </c>
      <c r="I149" s="2">
        <v>147</v>
      </c>
      <c r="J149" s="2">
        <v>-967</v>
      </c>
      <c r="K149" s="4">
        <v>0.60699999999999998</v>
      </c>
      <c r="L149" s="4">
        <v>0.32700000000000001</v>
      </c>
      <c r="M149" s="2">
        <v>102.4</v>
      </c>
      <c r="N149" s="2">
        <v>96</v>
      </c>
      <c r="O149" s="2">
        <v>95.9</v>
      </c>
      <c r="P149" s="2">
        <v>105</v>
      </c>
      <c r="Q149" s="4">
        <v>0.53500000000000003</v>
      </c>
      <c r="R149" s="4">
        <v>0.51700000000000002</v>
      </c>
      <c r="S149" s="4">
        <v>0.51</v>
      </c>
      <c r="T149" s="4">
        <v>0.54700000000000004</v>
      </c>
      <c r="U149" s="19">
        <f>Table2[[#This Row],[NET PF]]/Table2[[#This Row],[HOME GAMES]]</f>
        <v>0.11475409836065574</v>
      </c>
      <c r="V149" s="28">
        <f>393/Table2[[#This Row],[AWAY GAMES]]</f>
        <v>2.6734693877551021</v>
      </c>
      <c r="W149" s="4">
        <v>0.69199999999999995</v>
      </c>
      <c r="X149" s="4">
        <v>0.71199999999999997</v>
      </c>
      <c r="Y149" s="2">
        <v>14</v>
      </c>
      <c r="Z149" s="2">
        <v>126</v>
      </c>
      <c r="AA149" s="8">
        <f>Table2[[#This Row],[HOME MARGIN]]/Table2[[#This Row],[HOME GAMES]]</f>
        <v>4.7868852459016393</v>
      </c>
      <c r="AB149" s="8">
        <f>Table2[[#This Row],[AWAY MARGIN]]/Table2[[#This Row],[AWAY GAMES]]</f>
        <v>-6.5782312925170068</v>
      </c>
      <c r="AC149" s="8">
        <f>Table2[[#This Row],[HOME MARGIN/GAME]]-Table2[[#This Row],[AWAY MARGIN/GAME]]</f>
        <v>11.365116538418647</v>
      </c>
      <c r="AD149" s="23">
        <f>Table2[[#This Row],[HOME W/L%]]-Table2[[#This Row],[AWAY W/L%]]</f>
        <v>0.27999999999999997</v>
      </c>
      <c r="AE149" s="22"/>
      <c r="AF149"/>
    </row>
    <row r="150" spans="1:32" hidden="1" x14ac:dyDescent="0.2">
      <c r="A150" s="1">
        <v>265</v>
      </c>
      <c r="B150" s="1"/>
      <c r="C150" s="2" t="s">
        <v>302</v>
      </c>
      <c r="D150" s="2" t="str">
        <f>IF(COUNTIF($AG$3:$AG$20,C150)&gt;0,$AG$2,
 IF(COUNTIF($AH$3:$AH$20,C150)&gt;0,$AH$2,
 IF(COUNTIF($AI$3:$AI$20,C150)&gt;0,$AI$2,
 IF(COUNTIF($AJ$3:$AJ$20,C150)&gt;0,$AJ$2,
 IF(COUNTIF($AK$3:$AK$20,C150)&gt;0,$AK$2,
 IF(COUNTIF($AL$3:$AL$20,C150)&gt;0,$AL$2,
 IF(COUNTIF($AM$3:$AM$20,C150)&gt;0,$AM$2,"Not Found")))))))</f>
        <v>Not Found</v>
      </c>
      <c r="E150" s="2" t="s">
        <v>10</v>
      </c>
      <c r="F150" s="2" t="s">
        <v>11</v>
      </c>
      <c r="G150" s="2">
        <v>128</v>
      </c>
      <c r="H150" s="2">
        <v>665</v>
      </c>
      <c r="I150" s="2">
        <v>147</v>
      </c>
      <c r="J150" s="2">
        <v>-1048</v>
      </c>
      <c r="K150" s="4">
        <v>0.63300000000000001</v>
      </c>
      <c r="L150" s="4">
        <v>0.32</v>
      </c>
      <c r="M150" s="2">
        <v>102.7</v>
      </c>
      <c r="N150" s="2">
        <v>98.3</v>
      </c>
      <c r="O150" s="2">
        <v>95.6</v>
      </c>
      <c r="P150" s="2">
        <v>107.9</v>
      </c>
      <c r="Q150" s="4">
        <v>0.53700000000000003</v>
      </c>
      <c r="R150" s="4">
        <v>0.52800000000000002</v>
      </c>
      <c r="S150" s="4">
        <v>0.51400000000000001</v>
      </c>
      <c r="T150" s="4">
        <v>0.56499999999999995</v>
      </c>
      <c r="U150" s="19">
        <f>Table2[[#This Row],[NET PF]]/Table2[[#This Row],[HOME GAMES]]</f>
        <v>-3.3046875</v>
      </c>
      <c r="V150" s="28">
        <f>393/Table2[[#This Row],[AWAY GAMES]]</f>
        <v>2.6734693877551021</v>
      </c>
      <c r="W150" s="4">
        <v>0.69599999999999995</v>
      </c>
      <c r="X150" s="4">
        <v>0.72499999999999998</v>
      </c>
      <c r="Y150" s="2">
        <v>-423</v>
      </c>
      <c r="Z150" s="2">
        <v>-37</v>
      </c>
      <c r="AA150" s="8">
        <f>Table2[[#This Row],[HOME MARGIN]]/Table2[[#This Row],[HOME GAMES]]</f>
        <v>5.1953125</v>
      </c>
      <c r="AB150" s="8">
        <f>Table2[[#This Row],[AWAY MARGIN]]/Table2[[#This Row],[AWAY GAMES]]</f>
        <v>-7.129251700680272</v>
      </c>
      <c r="AC150" s="8">
        <f>Table2[[#This Row],[HOME MARGIN/GAME]]-Table2[[#This Row],[AWAY MARGIN/GAME]]</f>
        <v>12.324564200680271</v>
      </c>
      <c r="AD150" s="23">
        <f>Table2[[#This Row],[HOME W/L%]]-Table2[[#This Row],[AWAY W/L%]]</f>
        <v>0.313</v>
      </c>
      <c r="AE150" s="22"/>
      <c r="AF150"/>
    </row>
    <row r="151" spans="1:32" hidden="1" x14ac:dyDescent="0.2">
      <c r="A151" s="1">
        <v>197</v>
      </c>
      <c r="B151" s="1"/>
      <c r="C151" s="2" t="s">
        <v>324</v>
      </c>
      <c r="D151" s="2" t="str">
        <f>IF(COUNTIF($AG$3:$AG$20,C151)&gt;0,$AG$2,
 IF(COUNTIF($AH$3:$AH$20,C151)&gt;0,$AH$2,
 IF(COUNTIF($AI$3:$AI$20,C151)&gt;0,$AI$2,
 IF(COUNTIF($AJ$3:$AJ$20,C151)&gt;0,$AJ$2,
 IF(COUNTIF($AK$3:$AK$20,C151)&gt;0,$AK$2,
 IF(COUNTIF($AL$3:$AL$20,C151)&gt;0,$AL$2,
 IF(COUNTIF($AM$3:$AM$20,C151)&gt;0,$AM$2,"Not Found")))))))</f>
        <v>Not Found</v>
      </c>
      <c r="E151" s="2" t="s">
        <v>10</v>
      </c>
      <c r="F151" s="2" t="s">
        <v>11</v>
      </c>
      <c r="G151" s="2">
        <v>148</v>
      </c>
      <c r="H151" s="2">
        <v>995</v>
      </c>
      <c r="I151" s="2">
        <v>145</v>
      </c>
      <c r="J151" s="2">
        <v>-942</v>
      </c>
      <c r="K151" s="4">
        <v>0.628</v>
      </c>
      <c r="L151" s="4">
        <v>0.31</v>
      </c>
      <c r="M151" s="2">
        <v>106.6</v>
      </c>
      <c r="N151" s="2">
        <v>95.3</v>
      </c>
      <c r="O151" s="2">
        <v>97.1</v>
      </c>
      <c r="P151" s="2">
        <v>104.6</v>
      </c>
      <c r="Q151" s="4">
        <v>0.55900000000000005</v>
      </c>
      <c r="R151" s="4">
        <v>0.51800000000000002</v>
      </c>
      <c r="S151" s="4">
        <v>0.53300000000000003</v>
      </c>
      <c r="T151" s="4">
        <v>0.55900000000000005</v>
      </c>
      <c r="U151" s="19">
        <f>Table2[[#This Row],[NET PF]]/Table2[[#This Row],[HOME GAMES]]</f>
        <v>-1.222972972972973</v>
      </c>
      <c r="V151" s="28">
        <f>393/Table2[[#This Row],[AWAY GAMES]]</f>
        <v>2.7103448275862068</v>
      </c>
      <c r="W151" s="4">
        <v>0.70699999999999996</v>
      </c>
      <c r="X151" s="4">
        <v>0.71199999999999997</v>
      </c>
      <c r="Y151" s="2">
        <v>-181</v>
      </c>
      <c r="Z151" s="2">
        <v>95</v>
      </c>
      <c r="AA151" s="8">
        <f>Table2[[#This Row],[HOME MARGIN]]/Table2[[#This Row],[HOME GAMES]]</f>
        <v>6.7229729729729728</v>
      </c>
      <c r="AB151" s="8">
        <f>Table2[[#This Row],[AWAY MARGIN]]/Table2[[#This Row],[AWAY GAMES]]</f>
        <v>-6.4965517241379311</v>
      </c>
      <c r="AC151" s="8">
        <f>Table2[[#This Row],[HOME MARGIN/GAME]]-Table2[[#This Row],[AWAY MARGIN/GAME]]</f>
        <v>13.219524697110904</v>
      </c>
      <c r="AD151" s="23">
        <f>Table2[[#This Row],[HOME W/L%]]-Table2[[#This Row],[AWAY W/L%]]</f>
        <v>0.318</v>
      </c>
      <c r="AE151" s="22"/>
      <c r="AF151"/>
    </row>
    <row r="152" spans="1:32" hidden="1" x14ac:dyDescent="0.2">
      <c r="A152" s="1">
        <v>135</v>
      </c>
      <c r="B152" s="1"/>
      <c r="C152" s="2" t="s">
        <v>124</v>
      </c>
      <c r="D152" s="2" t="str">
        <f>IF(COUNTIF($AG$3:$AG$20,C152)&gt;0,$AG$2,
 IF(COUNTIF($AH$3:$AH$20,C152)&gt;0,$AH$2,
 IF(COUNTIF($AI$3:$AI$20,C152)&gt;0,$AI$2,
 IF(COUNTIF($AJ$3:$AJ$20,C152)&gt;0,$AJ$2,
 IF(COUNTIF($AK$3:$AK$20,C152)&gt;0,$AK$2,
 IF(COUNTIF($AL$3:$AL$20,C152)&gt;0,$AL$2,
 IF(COUNTIF($AM$3:$AM$20,C152)&gt;0,$AM$2,"Not Found")))))))</f>
        <v>Not Found</v>
      </c>
      <c r="E152" s="2" t="s">
        <v>10</v>
      </c>
      <c r="F152" s="2" t="s">
        <v>11</v>
      </c>
      <c r="G152" s="2">
        <v>145</v>
      </c>
      <c r="H152" s="2">
        <v>1333</v>
      </c>
      <c r="I152" s="2">
        <v>134</v>
      </c>
      <c r="J152" s="2">
        <v>-350</v>
      </c>
      <c r="K152" s="4">
        <v>0.71699999999999997</v>
      </c>
      <c r="L152" s="4">
        <v>0.46300000000000002</v>
      </c>
      <c r="M152" s="2">
        <v>109.1</v>
      </c>
      <c r="N152" s="2">
        <v>101</v>
      </c>
      <c r="O152" s="2">
        <v>96.6</v>
      </c>
      <c r="P152" s="2">
        <v>104.6</v>
      </c>
      <c r="Q152" s="4">
        <v>0.56399999999999995</v>
      </c>
      <c r="R152" s="4">
        <v>0.52100000000000002</v>
      </c>
      <c r="S152" s="4">
        <v>0.52300000000000002</v>
      </c>
      <c r="T152" s="4">
        <v>0.55000000000000004</v>
      </c>
      <c r="U152" s="19">
        <f>Table2[[#This Row],[NET PF]]/Table2[[#This Row],[HOME GAMES]]</f>
        <v>-1.6275862068965516</v>
      </c>
      <c r="V152" s="28">
        <f>393/Table2[[#This Row],[AWAY GAMES]]</f>
        <v>2.9328358208955225</v>
      </c>
      <c r="W152" s="4">
        <v>0.71699999999999997</v>
      </c>
      <c r="X152" s="4">
        <v>0.71899999999999997</v>
      </c>
      <c r="Y152" s="2">
        <v>-236</v>
      </c>
      <c r="Z152" s="2">
        <v>75</v>
      </c>
      <c r="AA152" s="8">
        <f>Table2[[#This Row],[HOME MARGIN]]/Table2[[#This Row],[HOME GAMES]]</f>
        <v>9.1931034482758616</v>
      </c>
      <c r="AB152" s="8">
        <f>Table2[[#This Row],[AWAY MARGIN]]/Table2[[#This Row],[AWAY GAMES]]</f>
        <v>-2.6119402985074629</v>
      </c>
      <c r="AC152" s="8">
        <f>Table2[[#This Row],[HOME MARGIN/GAME]]-Table2[[#This Row],[AWAY MARGIN/GAME]]</f>
        <v>11.805043746783324</v>
      </c>
      <c r="AD152" s="23">
        <f>Table2[[#This Row],[HOME W/L%]]-Table2[[#This Row],[AWAY W/L%]]</f>
        <v>0.25399999999999995</v>
      </c>
      <c r="AE152" s="22"/>
      <c r="AF152"/>
    </row>
    <row r="153" spans="1:32" x14ac:dyDescent="0.2">
      <c r="A153" s="1">
        <v>92</v>
      </c>
      <c r="B153" s="1">
        <v>45</v>
      </c>
      <c r="C153" s="2" t="s">
        <v>193</v>
      </c>
      <c r="D153" s="2" t="str">
        <f>IF(COUNTIF($AG$3:$AG$20,C153)&gt;0,$AG$2,
 IF(COUNTIF($AH$3:$AH$20,C153)&gt;0,$AH$2,
 IF(COUNTIF($AI$3:$AI$20,C153)&gt;0,$AI$2,
 IF(COUNTIF($AJ$3:$AJ$20,C153)&gt;0,$AJ$2,
 IF(COUNTIF($AK$3:$AK$20,C153)&gt;0,$AK$2,
 IF(COUNTIF($AL$3:$AL$20,C153)&gt;0,$AL$2,
 IF(COUNTIF($AM$3:$AM$20,C153)&gt;0,$AM$2,"Not Found")))))))</f>
        <v>SEC</v>
      </c>
      <c r="E153" s="2" t="s">
        <v>10</v>
      </c>
      <c r="F153" s="2" t="s">
        <v>11</v>
      </c>
      <c r="G153" s="2">
        <v>168</v>
      </c>
      <c r="H153" s="2">
        <v>1583</v>
      </c>
      <c r="I153" s="2">
        <v>103</v>
      </c>
      <c r="J153" s="2">
        <v>-586</v>
      </c>
      <c r="K153" s="4">
        <v>0.74399999999999999</v>
      </c>
      <c r="L153" s="4">
        <v>0.32</v>
      </c>
      <c r="M153" s="2">
        <v>111</v>
      </c>
      <c r="N153" s="2">
        <v>100.6</v>
      </c>
      <c r="O153" s="2">
        <v>97.9</v>
      </c>
      <c r="P153" s="2">
        <v>108.4</v>
      </c>
      <c r="Q153" s="4">
        <v>0.56999999999999995</v>
      </c>
      <c r="R153" s="4">
        <v>0.52500000000000002</v>
      </c>
      <c r="S153" s="4">
        <v>0.51500000000000001</v>
      </c>
      <c r="T153" s="4">
        <v>0.56000000000000005</v>
      </c>
      <c r="U153" s="19">
        <f>Table2[[#This Row],[NET PF]]/Table2[[#This Row],[HOME GAMES]]</f>
        <v>-2.0059523809523809</v>
      </c>
      <c r="V153" s="28">
        <f>393/Table2[[#This Row],[AWAY GAMES]]</f>
        <v>3.8155339805825244</v>
      </c>
      <c r="W153" s="4">
        <v>0.69799999999999995</v>
      </c>
      <c r="X153" s="4">
        <v>0.70099999999999996</v>
      </c>
      <c r="Y153" s="2">
        <v>-337</v>
      </c>
      <c r="Z153" s="2">
        <v>242</v>
      </c>
      <c r="AA153" s="8">
        <f>Table2[[#This Row],[HOME MARGIN]]/Table2[[#This Row],[HOME GAMES]]</f>
        <v>9.4226190476190474</v>
      </c>
      <c r="AB153" s="8">
        <f>Table2[[#This Row],[AWAY MARGIN]]/Table2[[#This Row],[AWAY GAMES]]</f>
        <v>-5.6893203883495147</v>
      </c>
      <c r="AC153" s="8">
        <f>Table2[[#This Row],[HOME MARGIN/GAME]]-Table2[[#This Row],[AWAY MARGIN/GAME]]</f>
        <v>15.111939435968562</v>
      </c>
      <c r="AD153" s="23">
        <f>Table2[[#This Row],[HOME W/L%]]-Table2[[#This Row],[AWAY W/L%]]</f>
        <v>0.42399999999999999</v>
      </c>
      <c r="AE153" s="22"/>
      <c r="AF153"/>
    </row>
    <row r="154" spans="1:32" hidden="1" x14ac:dyDescent="0.2">
      <c r="A154" s="1">
        <v>20</v>
      </c>
      <c r="B154" s="1"/>
      <c r="C154" s="2" t="s">
        <v>66</v>
      </c>
      <c r="D154" s="2" t="str">
        <f>IF(COUNTIF($AG$3:$AG$20,C154)&gt;0,$AG$2,
 IF(COUNTIF($AH$3:$AH$20,C154)&gt;0,$AH$2,
 IF(COUNTIF($AI$3:$AI$20,C154)&gt;0,$AI$2,
 IF(COUNTIF($AJ$3:$AJ$20,C154)&gt;0,$AJ$2,
 IF(COUNTIF($AK$3:$AK$20,C154)&gt;0,$AK$2,
 IF(COUNTIF($AL$3:$AL$20,C154)&gt;0,$AL$2,
 IF(COUNTIF($AM$3:$AM$20,C154)&gt;0,$AM$2,"Not Found")))))))</f>
        <v>Not Found</v>
      </c>
      <c r="E154" s="2" t="s">
        <v>10</v>
      </c>
      <c r="F154" s="2" t="s">
        <v>11</v>
      </c>
      <c r="G154" s="2">
        <v>160</v>
      </c>
      <c r="H154" s="2">
        <v>2246</v>
      </c>
      <c r="I154" s="2">
        <v>132</v>
      </c>
      <c r="J154" s="2">
        <v>-61</v>
      </c>
      <c r="K154" s="4">
        <v>0.83799999999999997</v>
      </c>
      <c r="L154" s="4">
        <v>0.42399999999999999</v>
      </c>
      <c r="M154" s="2">
        <v>110.1</v>
      </c>
      <c r="N154" s="2">
        <v>101.2</v>
      </c>
      <c r="O154" s="2">
        <v>90.5</v>
      </c>
      <c r="P154" s="2">
        <v>101.8</v>
      </c>
      <c r="Q154" s="4">
        <v>0.57199999999999995</v>
      </c>
      <c r="R154" s="4">
        <v>0.53500000000000003</v>
      </c>
      <c r="S154" s="4">
        <v>0.48799999999999999</v>
      </c>
      <c r="T154" s="4">
        <v>0.54300000000000004</v>
      </c>
      <c r="U154" s="19">
        <f>Table2[[#This Row],[NET PF]]/Table2[[#This Row],[HOME GAMES]]</f>
        <v>-3.5</v>
      </c>
      <c r="V154" s="28">
        <f>393/Table2[[#This Row],[AWAY GAMES]]</f>
        <v>2.9772727272727271</v>
      </c>
      <c r="W154" s="4">
        <v>0.68899999999999995</v>
      </c>
      <c r="X154" s="4">
        <v>0.71</v>
      </c>
      <c r="Y154" s="2">
        <v>-560</v>
      </c>
      <c r="Z154" s="2">
        <v>92</v>
      </c>
      <c r="AA154" s="8">
        <f>Table2[[#This Row],[HOME MARGIN]]/Table2[[#This Row],[HOME GAMES]]</f>
        <v>14.0375</v>
      </c>
      <c r="AB154" s="8">
        <f>Table2[[#This Row],[AWAY MARGIN]]/Table2[[#This Row],[AWAY GAMES]]</f>
        <v>-0.4621212121212121</v>
      </c>
      <c r="AC154" s="8">
        <f>Table2[[#This Row],[HOME MARGIN/GAME]]-Table2[[#This Row],[AWAY MARGIN/GAME]]</f>
        <v>14.499621212121212</v>
      </c>
      <c r="AD154" s="23">
        <f>Table2[[#This Row],[HOME W/L%]]-Table2[[#This Row],[AWAY W/L%]]</f>
        <v>0.41399999999999998</v>
      </c>
      <c r="AE154" s="22"/>
      <c r="AF154"/>
    </row>
    <row r="155" spans="1:32" hidden="1" x14ac:dyDescent="0.2">
      <c r="A155" s="1">
        <v>202</v>
      </c>
      <c r="B155" s="1"/>
      <c r="C155" s="2" t="s">
        <v>259</v>
      </c>
      <c r="D155" s="2" t="str">
        <f>IF(COUNTIF($AG$3:$AG$20,C155)&gt;0,$AG$2,
 IF(COUNTIF($AH$3:$AH$20,C155)&gt;0,$AH$2,
 IF(COUNTIF($AI$3:$AI$20,C155)&gt;0,$AI$2,
 IF(COUNTIF($AJ$3:$AJ$20,C155)&gt;0,$AJ$2,
 IF(COUNTIF($AK$3:$AK$20,C155)&gt;0,$AK$2,
 IF(COUNTIF($AL$3:$AL$20,C155)&gt;0,$AL$2,
 IF(COUNTIF($AM$3:$AM$20,C155)&gt;0,$AM$2,"Not Found")))))))</f>
        <v>Not Found</v>
      </c>
      <c r="E155" s="2" t="s">
        <v>10</v>
      </c>
      <c r="F155" s="2" t="s">
        <v>11</v>
      </c>
      <c r="G155" s="2">
        <v>145</v>
      </c>
      <c r="H155" s="2">
        <v>954</v>
      </c>
      <c r="I155" s="2">
        <v>143</v>
      </c>
      <c r="J155" s="2">
        <v>-1413</v>
      </c>
      <c r="K155" s="4">
        <v>0.57199999999999995</v>
      </c>
      <c r="L155" s="4">
        <v>0.23100000000000001</v>
      </c>
      <c r="M155" s="2">
        <v>107.5</v>
      </c>
      <c r="N155" s="2">
        <v>93.2</v>
      </c>
      <c r="O155" s="2">
        <v>98.1</v>
      </c>
      <c r="P155" s="2">
        <v>107.5</v>
      </c>
      <c r="Q155" s="4">
        <v>0.55900000000000005</v>
      </c>
      <c r="R155" s="4">
        <v>0.49199999999999999</v>
      </c>
      <c r="S155" s="4">
        <v>0.52200000000000002</v>
      </c>
      <c r="T155" s="4">
        <v>0.54800000000000004</v>
      </c>
      <c r="U155" s="19">
        <f>Table2[[#This Row],[NET PF]]/Table2[[#This Row],[HOME GAMES]]</f>
        <v>-1.5034482758620689</v>
      </c>
      <c r="V155" s="28">
        <f>393/Table2[[#This Row],[AWAY GAMES]]</f>
        <v>2.7482517482517483</v>
      </c>
      <c r="W155" s="4">
        <v>0.70599999999999996</v>
      </c>
      <c r="X155" s="4">
        <v>0.71499999999999997</v>
      </c>
      <c r="Y155" s="2">
        <v>-218</v>
      </c>
      <c r="Z155" s="2">
        <v>177</v>
      </c>
      <c r="AA155" s="8">
        <f>Table2[[#This Row],[HOME MARGIN]]/Table2[[#This Row],[HOME GAMES]]</f>
        <v>6.5793103448275865</v>
      </c>
      <c r="AB155" s="8">
        <f>Table2[[#This Row],[AWAY MARGIN]]/Table2[[#This Row],[AWAY GAMES]]</f>
        <v>-9.8811188811188817</v>
      </c>
      <c r="AC155" s="8">
        <f>Table2[[#This Row],[HOME MARGIN/GAME]]-Table2[[#This Row],[AWAY MARGIN/GAME]]</f>
        <v>16.46042922594647</v>
      </c>
      <c r="AD155" s="23">
        <f>Table2[[#This Row],[HOME W/L%]]-Table2[[#This Row],[AWAY W/L%]]</f>
        <v>0.34099999999999997</v>
      </c>
      <c r="AE155" s="22"/>
      <c r="AF155"/>
    </row>
    <row r="156" spans="1:32" x14ac:dyDescent="0.2">
      <c r="A156" s="1">
        <v>98</v>
      </c>
      <c r="B156" s="1">
        <v>46</v>
      </c>
      <c r="C156" s="2" t="s">
        <v>111</v>
      </c>
      <c r="D156" s="2" t="str">
        <f>IF(COUNTIF($AG$3:$AG$20,C156)&gt;0,$AG$2,
 IF(COUNTIF($AH$3:$AH$20,C156)&gt;0,$AH$2,
 IF(COUNTIF($AI$3:$AI$20,C156)&gt;0,$AI$2,
 IF(COUNTIF($AJ$3:$AJ$20,C156)&gt;0,$AJ$2,
 IF(COUNTIF($AK$3:$AK$20,C156)&gt;0,$AK$2,
 IF(COUNTIF($AL$3:$AL$20,C156)&gt;0,$AL$2,
 IF(COUNTIF($AM$3:$AM$20,C156)&gt;0,$AM$2,"Not Found")))))))</f>
        <v>ACC</v>
      </c>
      <c r="E156" s="2" t="s">
        <v>10</v>
      </c>
      <c r="F156" s="2" t="s">
        <v>11</v>
      </c>
      <c r="G156" s="2">
        <v>170</v>
      </c>
      <c r="H156" s="2">
        <v>1535</v>
      </c>
      <c r="I156" s="2">
        <v>107</v>
      </c>
      <c r="J156" s="2">
        <v>-310</v>
      </c>
      <c r="K156" s="4">
        <v>0.71199999999999997</v>
      </c>
      <c r="L156" s="4">
        <v>0.374</v>
      </c>
      <c r="M156" s="2">
        <v>108.3</v>
      </c>
      <c r="N156" s="2">
        <v>101.2</v>
      </c>
      <c r="O156" s="2">
        <v>95.3</v>
      </c>
      <c r="P156" s="2">
        <v>105.4</v>
      </c>
      <c r="Q156" s="4">
        <v>0.55400000000000005</v>
      </c>
      <c r="R156" s="4">
        <v>0.52900000000000003</v>
      </c>
      <c r="S156" s="4">
        <v>0.5</v>
      </c>
      <c r="T156" s="4">
        <v>0.54900000000000004</v>
      </c>
      <c r="U156" s="19">
        <f>Table2[[#This Row],[NET PF]]/Table2[[#This Row],[HOME GAMES]]</f>
        <v>-2.5823529411764707</v>
      </c>
      <c r="V156" s="28">
        <f>393/Table2[[#This Row],[AWAY GAMES]]</f>
        <v>3.6728971962616823</v>
      </c>
      <c r="W156" s="4">
        <v>0.68400000000000005</v>
      </c>
      <c r="X156" s="4">
        <v>0.72799999999999998</v>
      </c>
      <c r="Y156" s="2">
        <v>-439</v>
      </c>
      <c r="Z156" s="2">
        <v>267</v>
      </c>
      <c r="AA156" s="8">
        <f>Table2[[#This Row],[HOME MARGIN]]/Table2[[#This Row],[HOME GAMES]]</f>
        <v>9.0294117647058822</v>
      </c>
      <c r="AB156" s="8">
        <f>Table2[[#This Row],[AWAY MARGIN]]/Table2[[#This Row],[AWAY GAMES]]</f>
        <v>-2.8971962616822431</v>
      </c>
      <c r="AC156" s="8">
        <f>Table2[[#This Row],[HOME MARGIN/GAME]]-Table2[[#This Row],[AWAY MARGIN/GAME]]</f>
        <v>11.926608026388125</v>
      </c>
      <c r="AD156" s="23">
        <f>Table2[[#This Row],[HOME W/L%]]-Table2[[#This Row],[AWAY W/L%]]</f>
        <v>0.33799999999999997</v>
      </c>
      <c r="AE156" s="22"/>
      <c r="AF156"/>
    </row>
    <row r="157" spans="1:32" hidden="1" x14ac:dyDescent="0.2">
      <c r="A157" s="1">
        <v>341</v>
      </c>
      <c r="B157" s="1"/>
      <c r="C157" s="2" t="s">
        <v>289</v>
      </c>
      <c r="D157" s="2" t="str">
        <f>IF(COUNTIF($AG$3:$AG$20,C157)&gt;0,$AG$2,
 IF(COUNTIF($AH$3:$AH$20,C157)&gt;0,$AH$2,
 IF(COUNTIF($AI$3:$AI$20,C157)&gt;0,$AI$2,
 IF(COUNTIF($AJ$3:$AJ$20,C157)&gt;0,$AJ$2,
 IF(COUNTIF($AK$3:$AK$20,C157)&gt;0,$AK$2,
 IF(COUNTIF($AL$3:$AL$20,C157)&gt;0,$AL$2,
 IF(COUNTIF($AM$3:$AM$20,C157)&gt;0,$AM$2,"Not Found")))))))</f>
        <v>Not Found</v>
      </c>
      <c r="E157" s="2" t="s">
        <v>10</v>
      </c>
      <c r="F157" s="2" t="s">
        <v>11</v>
      </c>
      <c r="G157" s="2">
        <v>124</v>
      </c>
      <c r="H157" s="2">
        <v>193</v>
      </c>
      <c r="I157" s="2">
        <v>152</v>
      </c>
      <c r="J157" s="2">
        <v>-1128</v>
      </c>
      <c r="K157" s="4">
        <v>0.53200000000000003</v>
      </c>
      <c r="L157" s="4">
        <v>0.23</v>
      </c>
      <c r="M157" s="2">
        <v>101.1</v>
      </c>
      <c r="N157" s="2">
        <v>96.9</v>
      </c>
      <c r="O157" s="2">
        <v>98.9</v>
      </c>
      <c r="P157" s="2">
        <v>107.5</v>
      </c>
      <c r="Q157" s="4">
        <v>0.53800000000000003</v>
      </c>
      <c r="R157" s="4">
        <v>0.51600000000000001</v>
      </c>
      <c r="S157" s="4">
        <v>0.53900000000000003</v>
      </c>
      <c r="T157" s="4">
        <v>0.57099999999999995</v>
      </c>
      <c r="U157" s="19">
        <f>Table2[[#This Row],[NET PF]]/Table2[[#This Row],[HOME GAMES]]</f>
        <v>-0.95967741935483875</v>
      </c>
      <c r="V157" s="28">
        <f>393/Table2[[#This Row],[AWAY GAMES]]</f>
        <v>2.5855263157894739</v>
      </c>
      <c r="W157" s="4">
        <v>0.71899999999999997</v>
      </c>
      <c r="X157" s="4">
        <v>0.72699999999999998</v>
      </c>
      <c r="Y157" s="2">
        <v>-119</v>
      </c>
      <c r="Z157" s="2">
        <v>104</v>
      </c>
      <c r="AA157" s="8">
        <f>Table2[[#This Row],[HOME MARGIN]]/Table2[[#This Row],[HOME GAMES]]</f>
        <v>1.5564516129032258</v>
      </c>
      <c r="AB157" s="8">
        <f>Table2[[#This Row],[AWAY MARGIN]]/Table2[[#This Row],[AWAY GAMES]]</f>
        <v>-7.4210526315789478</v>
      </c>
      <c r="AC157" s="8">
        <f>Table2[[#This Row],[HOME MARGIN/GAME]]-Table2[[#This Row],[AWAY MARGIN/GAME]]</f>
        <v>8.9775042444821729</v>
      </c>
      <c r="AD157" s="23">
        <f>Table2[[#This Row],[HOME W/L%]]-Table2[[#This Row],[AWAY W/L%]]</f>
        <v>0.30200000000000005</v>
      </c>
      <c r="AE157" s="22"/>
      <c r="AF157"/>
    </row>
    <row r="158" spans="1:32" hidden="1" x14ac:dyDescent="0.2">
      <c r="A158" s="1">
        <v>53</v>
      </c>
      <c r="B158" s="1"/>
      <c r="C158" s="2" t="s">
        <v>62</v>
      </c>
      <c r="D158" s="2" t="str">
        <f>IF(COUNTIF($AG$3:$AG$20,C158)&gt;0,$AG$2,
 IF(COUNTIF($AH$3:$AH$20,C158)&gt;0,$AH$2,
 IF(COUNTIF($AI$3:$AI$20,C158)&gt;0,$AI$2,
 IF(COUNTIF($AJ$3:$AJ$20,C158)&gt;0,$AJ$2,
 IF(COUNTIF($AK$3:$AK$20,C158)&gt;0,$AK$2,
 IF(COUNTIF($AL$3:$AL$20,C158)&gt;0,$AL$2,
 IF(COUNTIF($AM$3:$AM$20,C158)&gt;0,$AM$2,"Not Found")))))))</f>
        <v>Not Found</v>
      </c>
      <c r="E158" s="2" t="s">
        <v>10</v>
      </c>
      <c r="F158" s="2" t="s">
        <v>11</v>
      </c>
      <c r="G158" s="2">
        <v>155</v>
      </c>
      <c r="H158" s="2">
        <v>1899</v>
      </c>
      <c r="I158" s="2">
        <v>112</v>
      </c>
      <c r="J158" s="2">
        <v>-45</v>
      </c>
      <c r="K158" s="4">
        <v>0.80600000000000005</v>
      </c>
      <c r="L158" s="4">
        <v>0.50900000000000001</v>
      </c>
      <c r="M158" s="2">
        <v>110.2</v>
      </c>
      <c r="N158" s="2">
        <v>99.2</v>
      </c>
      <c r="O158" s="2">
        <v>92</v>
      </c>
      <c r="P158" s="2">
        <v>99.8</v>
      </c>
      <c r="Q158" s="4">
        <v>0.59499999999999997</v>
      </c>
      <c r="R158" s="4">
        <v>0.54900000000000004</v>
      </c>
      <c r="S158" s="4">
        <v>0.50900000000000001</v>
      </c>
      <c r="T158" s="4">
        <v>0.54100000000000004</v>
      </c>
      <c r="U158" s="19">
        <f>Table2[[#This Row],[NET PF]]/Table2[[#This Row],[HOME GAMES]]</f>
        <v>-2.2064516129032259</v>
      </c>
      <c r="V158" s="28">
        <f>393/Table2[[#This Row],[AWAY GAMES]]</f>
        <v>3.5089285714285716</v>
      </c>
      <c r="W158" s="4">
        <v>0.71899999999999997</v>
      </c>
      <c r="X158" s="4">
        <v>0.71799999999999997</v>
      </c>
      <c r="Y158" s="2">
        <v>-342</v>
      </c>
      <c r="Z158" s="2">
        <v>173</v>
      </c>
      <c r="AA158" s="8">
        <f>Table2[[#This Row],[HOME MARGIN]]/Table2[[#This Row],[HOME GAMES]]</f>
        <v>12.251612903225807</v>
      </c>
      <c r="AB158" s="8">
        <f>Table2[[#This Row],[AWAY MARGIN]]/Table2[[#This Row],[AWAY GAMES]]</f>
        <v>-0.4017857142857143</v>
      </c>
      <c r="AC158" s="8">
        <f>Table2[[#This Row],[HOME MARGIN/GAME]]-Table2[[#This Row],[AWAY MARGIN/GAME]]</f>
        <v>12.65339861751152</v>
      </c>
      <c r="AD158" s="23">
        <f>Table2[[#This Row],[HOME W/L%]]-Table2[[#This Row],[AWAY W/L%]]</f>
        <v>0.29700000000000004</v>
      </c>
      <c r="AE158" s="22"/>
      <c r="AF158"/>
    </row>
    <row r="159" spans="1:32" hidden="1" x14ac:dyDescent="0.2">
      <c r="A159" s="1">
        <v>293</v>
      </c>
      <c r="B159" s="1"/>
      <c r="C159" s="2" t="s">
        <v>372</v>
      </c>
      <c r="D159" s="2" t="str">
        <f>IF(COUNTIF($AG$3:$AG$20,C159)&gt;0,$AG$2,
 IF(COUNTIF($AH$3:$AH$20,C159)&gt;0,$AH$2,
 IF(COUNTIF($AI$3:$AI$20,C159)&gt;0,$AI$2,
 IF(COUNTIF($AJ$3:$AJ$20,C159)&gt;0,$AJ$2,
 IF(COUNTIF($AK$3:$AK$20,C159)&gt;0,$AK$2,
 IF(COUNTIF($AL$3:$AL$20,C159)&gt;0,$AL$2,
 IF(COUNTIF($AM$3:$AM$20,C159)&gt;0,$AM$2,"Not Found")))))))</f>
        <v>Not Found</v>
      </c>
      <c r="E159" s="2" t="s">
        <v>10</v>
      </c>
      <c r="F159" s="2" t="s">
        <v>11</v>
      </c>
      <c r="G159" s="2">
        <v>149</v>
      </c>
      <c r="H159" s="2">
        <v>534</v>
      </c>
      <c r="I159" s="2">
        <v>119</v>
      </c>
      <c r="J159" s="2">
        <v>-708</v>
      </c>
      <c r="K159" s="4">
        <v>0.59699999999999998</v>
      </c>
      <c r="L159" s="4">
        <v>0.32800000000000001</v>
      </c>
      <c r="M159" s="2">
        <v>106.2</v>
      </c>
      <c r="N159" s="2">
        <v>98.1</v>
      </c>
      <c r="O159" s="2">
        <v>101</v>
      </c>
      <c r="P159" s="2">
        <v>106.9</v>
      </c>
      <c r="Q159" s="4">
        <v>0.55600000000000005</v>
      </c>
      <c r="R159" s="4">
        <v>0.51800000000000002</v>
      </c>
      <c r="S159" s="4">
        <v>0.54100000000000004</v>
      </c>
      <c r="T159" s="4">
        <v>0.56799999999999995</v>
      </c>
      <c r="U159" s="19">
        <f>Table2[[#This Row],[NET PF]]/Table2[[#This Row],[HOME GAMES]]</f>
        <v>-0.32885906040268459</v>
      </c>
      <c r="V159" s="28">
        <f>393/Table2[[#This Row],[AWAY GAMES]]</f>
        <v>3.3025210084033612</v>
      </c>
      <c r="W159" s="4">
        <v>0.73899999999999999</v>
      </c>
      <c r="X159" s="4">
        <v>0.73099999999999998</v>
      </c>
      <c r="Y159" s="2">
        <v>-49</v>
      </c>
      <c r="Z159" s="2">
        <v>213</v>
      </c>
      <c r="AA159" s="8">
        <f>Table2[[#This Row],[HOME MARGIN]]/Table2[[#This Row],[HOME GAMES]]</f>
        <v>3.5838926174496644</v>
      </c>
      <c r="AB159" s="8">
        <f>Table2[[#This Row],[AWAY MARGIN]]/Table2[[#This Row],[AWAY GAMES]]</f>
        <v>-5.9495798319327733</v>
      </c>
      <c r="AC159" s="8">
        <f>Table2[[#This Row],[HOME MARGIN/GAME]]-Table2[[#This Row],[AWAY MARGIN/GAME]]</f>
        <v>9.5334724493824368</v>
      </c>
      <c r="AD159" s="23">
        <f>Table2[[#This Row],[HOME W/L%]]-Table2[[#This Row],[AWAY W/L%]]</f>
        <v>0.26899999999999996</v>
      </c>
      <c r="AE159" s="22"/>
      <c r="AF159"/>
    </row>
    <row r="160" spans="1:32" hidden="1" x14ac:dyDescent="0.2">
      <c r="A160" s="1">
        <v>338</v>
      </c>
      <c r="B160" s="1"/>
      <c r="C160" s="2" t="s">
        <v>234</v>
      </c>
      <c r="D160" s="2" t="str">
        <f>IF(COUNTIF($AG$3:$AG$20,C160)&gt;0,$AG$2,
 IF(COUNTIF($AH$3:$AH$20,C160)&gt;0,$AH$2,
 IF(COUNTIF($AI$3:$AI$20,C160)&gt;0,$AI$2,
 IF(COUNTIF($AJ$3:$AJ$20,C160)&gt;0,$AJ$2,
 IF(COUNTIF($AK$3:$AK$20,C160)&gt;0,$AK$2,
 IF(COUNTIF($AL$3:$AL$20,C160)&gt;0,$AL$2,
 IF(COUNTIF($AM$3:$AM$20,C160)&gt;0,$AM$2,"Not Found")))))))</f>
        <v>Not Found</v>
      </c>
      <c r="E160" s="2" t="s">
        <v>10</v>
      </c>
      <c r="F160" s="2" t="s">
        <v>11</v>
      </c>
      <c r="G160" s="2">
        <v>114</v>
      </c>
      <c r="H160" s="2">
        <v>216</v>
      </c>
      <c r="I160" s="2">
        <v>157</v>
      </c>
      <c r="J160" s="2">
        <v>-1746</v>
      </c>
      <c r="K160" s="4">
        <v>0.45600000000000002</v>
      </c>
      <c r="L160" s="4">
        <v>0.20399999999999999</v>
      </c>
      <c r="M160" s="2">
        <v>100.6</v>
      </c>
      <c r="N160" s="2">
        <v>90.5</v>
      </c>
      <c r="O160" s="2">
        <v>97.9</v>
      </c>
      <c r="P160" s="2">
        <v>106.5</v>
      </c>
      <c r="Q160" s="4">
        <v>0.53500000000000003</v>
      </c>
      <c r="R160" s="4">
        <v>0.497</v>
      </c>
      <c r="S160" s="4">
        <v>0.53200000000000003</v>
      </c>
      <c r="T160" s="4">
        <v>0.56200000000000006</v>
      </c>
      <c r="U160" s="19">
        <f>Table2[[#This Row],[NET PF]]/Table2[[#This Row],[HOME GAMES]]</f>
        <v>1.2894736842105263</v>
      </c>
      <c r="V160" s="28">
        <f>393/Table2[[#This Row],[AWAY GAMES]]</f>
        <v>2.5031847133757963</v>
      </c>
      <c r="W160" s="4">
        <v>0.72299999999999998</v>
      </c>
      <c r="X160" s="4">
        <v>0.71399999999999997</v>
      </c>
      <c r="Y160" s="2">
        <v>147</v>
      </c>
      <c r="Z160" s="2">
        <v>438</v>
      </c>
      <c r="AA160" s="8">
        <f>Table2[[#This Row],[HOME MARGIN]]/Table2[[#This Row],[HOME GAMES]]</f>
        <v>1.8947368421052631</v>
      </c>
      <c r="AB160" s="8">
        <f>Table2[[#This Row],[AWAY MARGIN]]/Table2[[#This Row],[AWAY GAMES]]</f>
        <v>-11.121019108280255</v>
      </c>
      <c r="AC160" s="8">
        <f>Table2[[#This Row],[HOME MARGIN/GAME]]-Table2[[#This Row],[AWAY MARGIN/GAME]]</f>
        <v>13.015755950385518</v>
      </c>
      <c r="AD160" s="23">
        <f>Table2[[#This Row],[HOME W/L%]]-Table2[[#This Row],[AWAY W/L%]]</f>
        <v>0.252</v>
      </c>
      <c r="AE160" s="22"/>
      <c r="AF160"/>
    </row>
    <row r="161" spans="1:32" hidden="1" x14ac:dyDescent="0.2">
      <c r="A161" s="1">
        <v>355</v>
      </c>
      <c r="B161" s="1"/>
      <c r="C161" s="2" t="s">
        <v>296</v>
      </c>
      <c r="D161" s="2" t="str">
        <f>IF(COUNTIF($AG$3:$AG$20,C161)&gt;0,$AG$2,
 IF(COUNTIF($AH$3:$AH$20,C161)&gt;0,$AH$2,
 IF(COUNTIF($AI$3:$AI$20,C161)&gt;0,$AI$2,
 IF(COUNTIF($AJ$3:$AJ$20,C161)&gt;0,$AJ$2,
 IF(COUNTIF($AK$3:$AK$20,C161)&gt;0,$AK$2,
 IF(COUNTIF($AL$3:$AL$20,C161)&gt;0,$AL$2,
 IF(COUNTIF($AM$3:$AM$20,C161)&gt;0,$AM$2,"Not Found")))))))</f>
        <v>Not Found</v>
      </c>
      <c r="E161" s="2" t="s">
        <v>10</v>
      </c>
      <c r="F161" s="2" t="s">
        <v>11</v>
      </c>
      <c r="G161" s="2">
        <v>129</v>
      </c>
      <c r="H161" s="2">
        <v>-2</v>
      </c>
      <c r="I161" s="2">
        <v>141</v>
      </c>
      <c r="J161" s="2">
        <v>-1090</v>
      </c>
      <c r="K161" s="4">
        <v>0.48799999999999999</v>
      </c>
      <c r="L161" s="4">
        <v>0.32600000000000001</v>
      </c>
      <c r="M161" s="2">
        <v>99.5</v>
      </c>
      <c r="N161" s="2">
        <v>93.5</v>
      </c>
      <c r="O161" s="2">
        <v>99.5</v>
      </c>
      <c r="P161" s="2">
        <v>104.5</v>
      </c>
      <c r="Q161" s="4">
        <v>0.52800000000000002</v>
      </c>
      <c r="R161" s="4">
        <v>0.51100000000000001</v>
      </c>
      <c r="S161" s="4">
        <v>0.53500000000000003</v>
      </c>
      <c r="T161" s="4">
        <v>0.55800000000000005</v>
      </c>
      <c r="U161" s="19">
        <f>Table2[[#This Row],[NET PF]]/Table2[[#This Row],[HOME GAMES]]</f>
        <v>0.38759689922480622</v>
      </c>
      <c r="V161" s="28">
        <f>393/Table2[[#This Row],[AWAY GAMES]]</f>
        <v>2.7872340425531914</v>
      </c>
      <c r="W161" s="4">
        <v>0.71299999999999997</v>
      </c>
      <c r="X161" s="4">
        <v>0.70699999999999996</v>
      </c>
      <c r="Y161" s="2">
        <v>50</v>
      </c>
      <c r="Z161" s="2">
        <v>166</v>
      </c>
      <c r="AA161" s="8">
        <f>Table2[[#This Row],[HOME MARGIN]]/Table2[[#This Row],[HOME GAMES]]</f>
        <v>-1.5503875968992248E-2</v>
      </c>
      <c r="AB161" s="8">
        <f>Table2[[#This Row],[AWAY MARGIN]]/Table2[[#This Row],[AWAY GAMES]]</f>
        <v>-7.7304964539007095</v>
      </c>
      <c r="AC161" s="8">
        <f>Table2[[#This Row],[HOME MARGIN/GAME]]-Table2[[#This Row],[AWAY MARGIN/GAME]]</f>
        <v>7.7149925779317172</v>
      </c>
      <c r="AD161" s="23">
        <f>Table2[[#This Row],[HOME W/L%]]-Table2[[#This Row],[AWAY W/L%]]</f>
        <v>0.16199999999999998</v>
      </c>
      <c r="AE161" s="22"/>
      <c r="AF161"/>
    </row>
    <row r="162" spans="1:32" hidden="1" x14ac:dyDescent="0.2">
      <c r="A162" s="1">
        <v>362</v>
      </c>
      <c r="B162" s="1"/>
      <c r="C162" s="2" t="s">
        <v>367</v>
      </c>
      <c r="D162" s="2" t="str">
        <f>IF(COUNTIF($AG$3:$AG$20,C162)&gt;0,$AG$2,
 IF(COUNTIF($AH$3:$AH$20,C162)&gt;0,$AH$2,
 IF(COUNTIF($AI$3:$AI$20,C162)&gt;0,$AI$2,
 IF(COUNTIF($AJ$3:$AJ$20,C162)&gt;0,$AJ$2,
 IF(COUNTIF($AK$3:$AK$20,C162)&gt;0,$AK$2,
 IF(COUNTIF($AL$3:$AL$20,C162)&gt;0,$AL$2,
 IF(COUNTIF($AM$3:$AM$20,C162)&gt;0,$AM$2,"Not Found")))))))</f>
        <v>Not Found</v>
      </c>
      <c r="E162" s="2" t="s">
        <v>10</v>
      </c>
      <c r="F162" s="2" t="s">
        <v>11</v>
      </c>
      <c r="G162" s="2">
        <v>130</v>
      </c>
      <c r="H162" s="2">
        <v>-156</v>
      </c>
      <c r="I162" s="2">
        <v>144</v>
      </c>
      <c r="J162" s="2">
        <v>-721</v>
      </c>
      <c r="K162" s="4">
        <v>0.45400000000000001</v>
      </c>
      <c r="L162" s="4">
        <v>0.34</v>
      </c>
      <c r="M162" s="2">
        <v>99.7</v>
      </c>
      <c r="N162" s="2">
        <v>95.9</v>
      </c>
      <c r="O162" s="2">
        <v>101.5</v>
      </c>
      <c r="P162" s="2">
        <v>103.2</v>
      </c>
      <c r="Q162" s="4">
        <v>0.53600000000000003</v>
      </c>
      <c r="R162" s="4">
        <v>0.52300000000000002</v>
      </c>
      <c r="S162" s="4">
        <v>0.52800000000000002</v>
      </c>
      <c r="T162" s="4">
        <v>0.54</v>
      </c>
      <c r="U162" s="19">
        <f>Table2[[#This Row],[NET PF]]/Table2[[#This Row],[HOME GAMES]]</f>
        <v>-6.9230769230769235E-2</v>
      </c>
      <c r="V162" s="28">
        <f>393/Table2[[#This Row],[AWAY GAMES]]</f>
        <v>2.7291666666666665</v>
      </c>
      <c r="W162" s="4">
        <v>0.71699999999999997</v>
      </c>
      <c r="X162" s="4">
        <v>0.71399999999999997</v>
      </c>
      <c r="Y162" s="2">
        <v>-9</v>
      </c>
      <c r="Z162" s="2">
        <v>128</v>
      </c>
      <c r="AA162" s="8">
        <f>Table2[[#This Row],[HOME MARGIN]]/Table2[[#This Row],[HOME GAMES]]</f>
        <v>-1.2</v>
      </c>
      <c r="AB162" s="8">
        <f>Table2[[#This Row],[AWAY MARGIN]]/Table2[[#This Row],[AWAY GAMES]]</f>
        <v>-5.0069444444444446</v>
      </c>
      <c r="AC162" s="8">
        <f>Table2[[#This Row],[HOME MARGIN/GAME]]-Table2[[#This Row],[AWAY MARGIN/GAME]]</f>
        <v>3.8069444444444445</v>
      </c>
      <c r="AD162" s="23">
        <f>Table2[[#This Row],[HOME W/L%]]-Table2[[#This Row],[AWAY W/L%]]</f>
        <v>0.11399999999999999</v>
      </c>
      <c r="AE162" s="22"/>
      <c r="AF162"/>
    </row>
    <row r="163" spans="1:32" x14ac:dyDescent="0.2">
      <c r="A163" s="1">
        <v>56</v>
      </c>
      <c r="B163" s="1">
        <v>34</v>
      </c>
      <c r="C163" s="2" t="s">
        <v>67</v>
      </c>
      <c r="D163" s="2" t="str">
        <f>IF(COUNTIF($AG$3:$AG$20,C163)&gt;0,$AG$2,
 IF(COUNTIF($AH$3:$AH$20,C163)&gt;0,$AH$2,
 IF(COUNTIF($AI$3:$AI$20,C163)&gt;0,$AI$2,
 IF(COUNTIF($AJ$3:$AJ$20,C163)&gt;0,$AJ$2,
 IF(COUNTIF($AK$3:$AK$20,C163)&gt;0,$AK$2,
 IF(COUNTIF($AL$3:$AL$20,C163)&gt;0,$AL$2,
 IF(COUNTIF($AM$3:$AM$20,C163)&gt;0,$AM$2,"Not Found")))))))</f>
        <v>Big East</v>
      </c>
      <c r="E163" s="2" t="s">
        <v>10</v>
      </c>
      <c r="F163" s="2" t="s">
        <v>11</v>
      </c>
      <c r="G163" s="2">
        <v>168</v>
      </c>
      <c r="H163" s="2">
        <v>1889</v>
      </c>
      <c r="I163" s="2">
        <v>111</v>
      </c>
      <c r="J163" s="2">
        <v>-74</v>
      </c>
      <c r="K163" s="4">
        <v>0.77400000000000002</v>
      </c>
      <c r="L163" s="4">
        <v>0.495</v>
      </c>
      <c r="M163" s="2">
        <v>110.2</v>
      </c>
      <c r="N163" s="2">
        <v>106.4</v>
      </c>
      <c r="O163" s="2">
        <v>94.7</v>
      </c>
      <c r="P163" s="2">
        <v>107.4</v>
      </c>
      <c r="Q163" s="4">
        <v>0.57899999999999996</v>
      </c>
      <c r="R163" s="4">
        <v>0.56499999999999995</v>
      </c>
      <c r="S163" s="4">
        <v>0.505</v>
      </c>
      <c r="T163" s="4">
        <v>0.55600000000000005</v>
      </c>
      <c r="U163" s="19">
        <f>Table2[[#This Row],[NET PF]]/Table2[[#This Row],[HOME GAMES]]</f>
        <v>-0.9285714285714286</v>
      </c>
      <c r="V163" s="28">
        <f>393/Table2[[#This Row],[AWAY GAMES]]</f>
        <v>3.5405405405405403</v>
      </c>
      <c r="W163" s="4">
        <v>0.7</v>
      </c>
      <c r="X163" s="4">
        <v>0.72799999999999998</v>
      </c>
      <c r="Y163" s="2">
        <v>-156</v>
      </c>
      <c r="Z163" s="2">
        <v>316</v>
      </c>
      <c r="AA163" s="8">
        <f>Table2[[#This Row],[HOME MARGIN]]/Table2[[#This Row],[HOME GAMES]]</f>
        <v>11.244047619047619</v>
      </c>
      <c r="AB163" s="8">
        <f>Table2[[#This Row],[AWAY MARGIN]]/Table2[[#This Row],[AWAY GAMES]]</f>
        <v>-0.66666666666666663</v>
      </c>
      <c r="AC163" s="8">
        <f>Table2[[#This Row],[HOME MARGIN/GAME]]-Table2[[#This Row],[AWAY MARGIN/GAME]]</f>
        <v>11.910714285714285</v>
      </c>
      <c r="AD163" s="23">
        <f>Table2[[#This Row],[HOME W/L%]]-Table2[[#This Row],[AWAY W/L%]]</f>
        <v>0.27900000000000003</v>
      </c>
      <c r="AE163" s="22"/>
      <c r="AF163"/>
    </row>
    <row r="164" spans="1:32" hidden="1" x14ac:dyDescent="0.2">
      <c r="A164" s="1">
        <v>144</v>
      </c>
      <c r="B164" s="1"/>
      <c r="C164" s="2" t="s">
        <v>178</v>
      </c>
      <c r="D164" s="2" t="str">
        <f>IF(COUNTIF($AG$3:$AG$20,C164)&gt;0,$AG$2,
 IF(COUNTIF($AH$3:$AH$20,C164)&gt;0,$AH$2,
 IF(COUNTIF($AI$3:$AI$20,C164)&gt;0,$AI$2,
 IF(COUNTIF($AJ$3:$AJ$20,C164)&gt;0,$AJ$2,
 IF(COUNTIF($AK$3:$AK$20,C164)&gt;0,$AK$2,
 IF(COUNTIF($AL$3:$AL$20,C164)&gt;0,$AL$2,
 IF(COUNTIF($AM$3:$AM$20,C164)&gt;0,$AM$2,"Not Found")))))))</f>
        <v>Not Found</v>
      </c>
      <c r="E164" s="2" t="s">
        <v>10</v>
      </c>
      <c r="F164" s="2" t="s">
        <v>11</v>
      </c>
      <c r="G164" s="2">
        <v>156</v>
      </c>
      <c r="H164" s="2">
        <v>1281</v>
      </c>
      <c r="I164" s="2">
        <v>136</v>
      </c>
      <c r="J164" s="2">
        <v>-533</v>
      </c>
      <c r="K164" s="4">
        <v>0.73099999999999998</v>
      </c>
      <c r="L164" s="4">
        <v>0.38200000000000001</v>
      </c>
      <c r="M164" s="2">
        <v>107.7</v>
      </c>
      <c r="N164" s="2">
        <v>101</v>
      </c>
      <c r="O164" s="2">
        <v>97</v>
      </c>
      <c r="P164" s="2">
        <v>106.1</v>
      </c>
      <c r="Q164" s="4">
        <v>0.56200000000000006</v>
      </c>
      <c r="R164" s="4">
        <v>0.53400000000000003</v>
      </c>
      <c r="S164" s="4">
        <v>0.51900000000000002</v>
      </c>
      <c r="T164" s="4">
        <v>0.54500000000000004</v>
      </c>
      <c r="U164" s="19">
        <f>Table2[[#This Row],[NET PF]]/Table2[[#This Row],[HOME GAMES]]</f>
        <v>-1.0897435897435896</v>
      </c>
      <c r="V164" s="28">
        <f>393/Table2[[#This Row],[AWAY GAMES]]</f>
        <v>2.8897058823529411</v>
      </c>
      <c r="W164" s="4">
        <v>0.67900000000000005</v>
      </c>
      <c r="X164" s="4">
        <v>0.70599999999999996</v>
      </c>
      <c r="Y164" s="2">
        <v>-170</v>
      </c>
      <c r="Z164" s="2">
        <v>325</v>
      </c>
      <c r="AA164" s="8">
        <f>Table2[[#This Row],[HOME MARGIN]]/Table2[[#This Row],[HOME GAMES]]</f>
        <v>8.2115384615384617</v>
      </c>
      <c r="AB164" s="8">
        <f>Table2[[#This Row],[AWAY MARGIN]]/Table2[[#This Row],[AWAY GAMES]]</f>
        <v>-3.9191176470588234</v>
      </c>
      <c r="AC164" s="8">
        <f>Table2[[#This Row],[HOME MARGIN/GAME]]-Table2[[#This Row],[AWAY MARGIN/GAME]]</f>
        <v>12.130656108597286</v>
      </c>
      <c r="AD164" s="23">
        <f>Table2[[#This Row],[HOME W/L%]]-Table2[[#This Row],[AWAY W/L%]]</f>
        <v>0.34899999999999998</v>
      </c>
      <c r="AE164" s="22"/>
      <c r="AF164"/>
    </row>
    <row r="165" spans="1:32" x14ac:dyDescent="0.2">
      <c r="A165" s="1">
        <v>39</v>
      </c>
      <c r="B165" s="1">
        <v>29</v>
      </c>
      <c r="C165" s="2" t="s">
        <v>80</v>
      </c>
      <c r="D165" s="2" t="str">
        <f>IF(COUNTIF($AG$3:$AG$20,C165)&gt;0,$AG$2,
 IF(COUNTIF($AH$3:$AH$20,C165)&gt;0,$AH$2,
 IF(COUNTIF($AI$3:$AI$20,C165)&gt;0,$AI$2,
 IF(COUNTIF($AJ$3:$AJ$20,C165)&gt;0,$AJ$2,
 IF(COUNTIF($AK$3:$AK$20,C165)&gt;0,$AK$2,
 IF(COUNTIF($AL$3:$AL$20,C165)&gt;0,$AL$2,
 IF(COUNTIF($AM$3:$AM$20,C165)&gt;0,$AM$2,"Not Found")))))))</f>
        <v>Big 10</v>
      </c>
      <c r="E165" s="2" t="s">
        <v>10</v>
      </c>
      <c r="F165" s="2" t="s">
        <v>11</v>
      </c>
      <c r="G165" s="2">
        <v>176</v>
      </c>
      <c r="H165" s="2">
        <v>2031</v>
      </c>
      <c r="I165" s="2">
        <v>105</v>
      </c>
      <c r="J165" s="2">
        <v>-146</v>
      </c>
      <c r="K165" s="4">
        <v>0.79500000000000004</v>
      </c>
      <c r="L165" s="4">
        <v>0.41</v>
      </c>
      <c r="M165" s="2">
        <v>110.5</v>
      </c>
      <c r="N165" s="2">
        <v>100.6</v>
      </c>
      <c r="O165" s="2">
        <v>93.6</v>
      </c>
      <c r="P165" s="2">
        <v>102.6</v>
      </c>
      <c r="Q165" s="4">
        <v>0.56899999999999995</v>
      </c>
      <c r="R165" s="4">
        <v>0.53100000000000003</v>
      </c>
      <c r="S165" s="4">
        <v>0.49199999999999999</v>
      </c>
      <c r="T165" s="4">
        <v>0.52600000000000002</v>
      </c>
      <c r="U165" s="19">
        <f>Table2[[#This Row],[NET PF]]/Table2[[#This Row],[HOME GAMES]]</f>
        <v>-4.1761363636363633</v>
      </c>
      <c r="V165" s="28">
        <f>393/Table2[[#This Row],[AWAY GAMES]]</f>
        <v>3.7428571428571429</v>
      </c>
      <c r="W165" s="4">
        <v>0.72399999999999998</v>
      </c>
      <c r="X165" s="4">
        <v>0.72099999999999997</v>
      </c>
      <c r="Y165" s="2">
        <v>-735</v>
      </c>
      <c r="Z165" s="2">
        <v>106</v>
      </c>
      <c r="AA165" s="8">
        <f>Table2[[#This Row],[HOME MARGIN]]/Table2[[#This Row],[HOME GAMES]]</f>
        <v>11.539772727272727</v>
      </c>
      <c r="AB165" s="8">
        <f>Table2[[#This Row],[AWAY MARGIN]]/Table2[[#This Row],[AWAY GAMES]]</f>
        <v>-1.3904761904761904</v>
      </c>
      <c r="AC165" s="8">
        <f>Table2[[#This Row],[HOME MARGIN/GAME]]-Table2[[#This Row],[AWAY MARGIN/GAME]]</f>
        <v>12.930248917748917</v>
      </c>
      <c r="AD165" s="23">
        <f>Table2[[#This Row],[HOME W/L%]]-Table2[[#This Row],[AWAY W/L%]]</f>
        <v>0.38500000000000006</v>
      </c>
      <c r="AE165" s="22"/>
      <c r="AF165"/>
    </row>
    <row r="166" spans="1:32" hidden="1" x14ac:dyDescent="0.2">
      <c r="A166" s="1">
        <v>284</v>
      </c>
      <c r="B166" s="1"/>
      <c r="C166" s="2" t="s">
        <v>222</v>
      </c>
      <c r="D166" s="2" t="str">
        <f>IF(COUNTIF($AG$3:$AG$20,C166)&gt;0,$AG$2,
 IF(COUNTIF($AH$3:$AH$20,C166)&gt;0,$AH$2,
 IF(COUNTIF($AI$3:$AI$20,C166)&gt;0,$AI$2,
 IF(COUNTIF($AJ$3:$AJ$20,C166)&gt;0,$AJ$2,
 IF(COUNTIF($AK$3:$AK$20,C166)&gt;0,$AK$2,
 IF(COUNTIF($AL$3:$AL$20,C166)&gt;0,$AL$2,
 IF(COUNTIF($AM$3:$AM$20,C166)&gt;0,$AM$2,"Not Found")))))))</f>
        <v>Not Found</v>
      </c>
      <c r="E166" s="2" t="s">
        <v>10</v>
      </c>
      <c r="F166" s="2" t="s">
        <v>11</v>
      </c>
      <c r="G166" s="2">
        <v>103</v>
      </c>
      <c r="H166" s="2">
        <v>561</v>
      </c>
      <c r="I166" s="2">
        <v>161</v>
      </c>
      <c r="J166" s="2">
        <v>-2558</v>
      </c>
      <c r="K166" s="4">
        <v>0.57299999999999995</v>
      </c>
      <c r="L166" s="4">
        <v>0.14899999999999999</v>
      </c>
      <c r="M166" s="2">
        <v>100.9</v>
      </c>
      <c r="N166" s="2">
        <v>87</v>
      </c>
      <c r="O166" s="2">
        <v>93.4</v>
      </c>
      <c r="P166" s="2">
        <v>110</v>
      </c>
      <c r="Q166" s="4">
        <v>0.53900000000000003</v>
      </c>
      <c r="R166" s="4">
        <v>0.47099999999999997</v>
      </c>
      <c r="S166" s="4">
        <v>0.52</v>
      </c>
      <c r="T166" s="4">
        <v>0.57299999999999995</v>
      </c>
      <c r="U166" s="19">
        <f>Table2[[#This Row],[NET PF]]/Table2[[#This Row],[HOME GAMES]]</f>
        <v>-0.74757281553398058</v>
      </c>
      <c r="V166" s="28">
        <f>393/Table2[[#This Row],[AWAY GAMES]]</f>
        <v>2.4409937888198758</v>
      </c>
      <c r="W166" s="4">
        <v>0.69299999999999995</v>
      </c>
      <c r="X166" s="4">
        <v>0.70499999999999996</v>
      </c>
      <c r="Y166" s="2">
        <v>-77</v>
      </c>
      <c r="Z166" s="2">
        <v>526</v>
      </c>
      <c r="AA166" s="8">
        <f>Table2[[#This Row],[HOME MARGIN]]/Table2[[#This Row],[HOME GAMES]]</f>
        <v>5.4466019417475726</v>
      </c>
      <c r="AB166" s="8">
        <f>Table2[[#This Row],[AWAY MARGIN]]/Table2[[#This Row],[AWAY GAMES]]</f>
        <v>-15.888198757763975</v>
      </c>
      <c r="AC166" s="8">
        <f>Table2[[#This Row],[HOME MARGIN/GAME]]-Table2[[#This Row],[AWAY MARGIN/GAME]]</f>
        <v>21.334800699511547</v>
      </c>
      <c r="AD166" s="23">
        <f>Table2[[#This Row],[HOME W/L%]]-Table2[[#This Row],[AWAY W/L%]]</f>
        <v>0.42399999999999993</v>
      </c>
      <c r="AE166" s="22"/>
      <c r="AF166"/>
    </row>
    <row r="167" spans="1:32" hidden="1" x14ac:dyDescent="0.2">
      <c r="A167" s="1">
        <v>274</v>
      </c>
      <c r="B167" s="1"/>
      <c r="C167" s="2" t="s">
        <v>369</v>
      </c>
      <c r="D167" s="2" t="str">
        <f>IF(COUNTIF($AG$3:$AG$20,C167)&gt;0,$AG$2,
 IF(COUNTIF($AH$3:$AH$20,C167)&gt;0,$AH$2,
 IF(COUNTIF($AI$3:$AI$20,C167)&gt;0,$AI$2,
 IF(COUNTIF($AJ$3:$AJ$20,C167)&gt;0,$AJ$2,
 IF(COUNTIF($AK$3:$AK$20,C167)&gt;0,$AK$2,
 IF(COUNTIF($AL$3:$AL$20,C167)&gt;0,$AL$2,
 IF(COUNTIF($AM$3:$AM$20,C167)&gt;0,$AM$2,"Not Found")))))))</f>
        <v>Not Found</v>
      </c>
      <c r="E167" s="2" t="s">
        <v>10</v>
      </c>
      <c r="F167" s="2" t="s">
        <v>11</v>
      </c>
      <c r="G167" s="2">
        <v>152</v>
      </c>
      <c r="H167" s="2">
        <v>595</v>
      </c>
      <c r="I167" s="2">
        <v>110</v>
      </c>
      <c r="J167" s="2">
        <v>-717</v>
      </c>
      <c r="K167" s="4">
        <v>0.61799999999999999</v>
      </c>
      <c r="L167" s="4">
        <v>0.255</v>
      </c>
      <c r="M167" s="2">
        <v>104</v>
      </c>
      <c r="N167" s="2">
        <v>97.4</v>
      </c>
      <c r="O167" s="2">
        <v>98.6</v>
      </c>
      <c r="P167" s="2">
        <v>106.5</v>
      </c>
      <c r="Q167" s="4">
        <v>0.54400000000000004</v>
      </c>
      <c r="R167" s="4">
        <v>0.50900000000000001</v>
      </c>
      <c r="S167" s="4">
        <v>0.52800000000000002</v>
      </c>
      <c r="T167" s="4">
        <v>0.55800000000000005</v>
      </c>
      <c r="U167" s="19">
        <f>Table2[[#This Row],[NET PF]]/Table2[[#This Row],[HOME GAMES]]</f>
        <v>-0.66447368421052633</v>
      </c>
      <c r="V167" s="28">
        <f>393/Table2[[#This Row],[AWAY GAMES]]</f>
        <v>3.5727272727272728</v>
      </c>
      <c r="W167" s="4">
        <v>0.71</v>
      </c>
      <c r="X167" s="4">
        <v>0.72099999999999997</v>
      </c>
      <c r="Y167" s="2">
        <v>-101</v>
      </c>
      <c r="Z167" s="2">
        <v>323</v>
      </c>
      <c r="AA167" s="8">
        <f>Table2[[#This Row],[HOME MARGIN]]/Table2[[#This Row],[HOME GAMES]]</f>
        <v>3.9144736842105261</v>
      </c>
      <c r="AB167" s="8">
        <f>Table2[[#This Row],[AWAY MARGIN]]/Table2[[#This Row],[AWAY GAMES]]</f>
        <v>-6.5181818181818185</v>
      </c>
      <c r="AC167" s="8">
        <f>Table2[[#This Row],[HOME MARGIN/GAME]]-Table2[[#This Row],[AWAY MARGIN/GAME]]</f>
        <v>10.432655502392345</v>
      </c>
      <c r="AD167" s="23">
        <f>Table2[[#This Row],[HOME W/L%]]-Table2[[#This Row],[AWAY W/L%]]</f>
        <v>0.36299999999999999</v>
      </c>
      <c r="AE167" s="22"/>
      <c r="AF167"/>
    </row>
    <row r="168" spans="1:32" hidden="1" x14ac:dyDescent="0.2">
      <c r="A168" s="1">
        <v>91</v>
      </c>
      <c r="B168" s="1"/>
      <c r="C168" s="2" t="s">
        <v>301</v>
      </c>
      <c r="D168" s="2" t="str">
        <f>IF(COUNTIF($AG$3:$AG$20,C168)&gt;0,$AG$2,
 IF(COUNTIF($AH$3:$AH$20,C168)&gt;0,$AH$2,
 IF(COUNTIF($AI$3:$AI$20,C168)&gt;0,$AI$2,
 IF(COUNTIF($AJ$3:$AJ$20,C168)&gt;0,$AJ$2,
 IF(COUNTIF($AK$3:$AK$20,C168)&gt;0,$AK$2,
 IF(COUNTIF($AL$3:$AL$20,C168)&gt;0,$AL$2,
 IF(COUNTIF($AM$3:$AM$20,C168)&gt;0,$AM$2,"Not Found")))))))</f>
        <v>Not Found</v>
      </c>
      <c r="E168" s="2" t="s">
        <v>10</v>
      </c>
      <c r="F168" s="2" t="s">
        <v>11</v>
      </c>
      <c r="G168" s="2">
        <v>137</v>
      </c>
      <c r="H168" s="2">
        <v>1586</v>
      </c>
      <c r="I168" s="2">
        <v>147</v>
      </c>
      <c r="J168" s="2">
        <v>-1056</v>
      </c>
      <c r="K168" s="4">
        <v>0.61299999999999999</v>
      </c>
      <c r="L168" s="4">
        <v>0.30599999999999999</v>
      </c>
      <c r="M168" s="2">
        <v>111.9</v>
      </c>
      <c r="N168" s="2">
        <v>97.4</v>
      </c>
      <c r="O168" s="2">
        <v>95.9</v>
      </c>
      <c r="P168" s="2">
        <v>107.4</v>
      </c>
      <c r="Q168" s="4">
        <v>0.57299999999999995</v>
      </c>
      <c r="R168" s="4">
        <v>0.52200000000000002</v>
      </c>
      <c r="S168" s="4">
        <v>0.51700000000000002</v>
      </c>
      <c r="T168" s="4">
        <v>0.55400000000000005</v>
      </c>
      <c r="U168" s="19">
        <f>Table2[[#This Row],[NET PF]]/Table2[[#This Row],[HOME GAMES]]</f>
        <v>-1.7737226277372262</v>
      </c>
      <c r="V168" s="28">
        <f>393/Table2[[#This Row],[AWAY GAMES]]</f>
        <v>2.6734693877551021</v>
      </c>
      <c r="W168" s="4">
        <v>0.71299999999999997</v>
      </c>
      <c r="X168" s="4">
        <v>0.70199999999999996</v>
      </c>
      <c r="Y168" s="2">
        <v>-243</v>
      </c>
      <c r="Z168" s="2">
        <v>261</v>
      </c>
      <c r="AA168" s="8">
        <f>Table2[[#This Row],[HOME MARGIN]]/Table2[[#This Row],[HOME GAMES]]</f>
        <v>11.576642335766424</v>
      </c>
      <c r="AB168" s="8">
        <f>Table2[[#This Row],[AWAY MARGIN]]/Table2[[#This Row],[AWAY GAMES]]</f>
        <v>-7.1836734693877551</v>
      </c>
      <c r="AC168" s="8">
        <f>Table2[[#This Row],[HOME MARGIN/GAME]]-Table2[[#This Row],[AWAY MARGIN/GAME]]</f>
        <v>18.760315805154178</v>
      </c>
      <c r="AD168" s="23">
        <f>Table2[[#This Row],[HOME W/L%]]-Table2[[#This Row],[AWAY W/L%]]</f>
        <v>0.307</v>
      </c>
      <c r="AE168" s="22"/>
      <c r="AF168"/>
    </row>
    <row r="169" spans="1:32" hidden="1" x14ac:dyDescent="0.2">
      <c r="A169" s="1">
        <v>68</v>
      </c>
      <c r="B169" s="1"/>
      <c r="C169" s="2" t="s">
        <v>55</v>
      </c>
      <c r="D169" s="2" t="str">
        <f>IF(COUNTIF($AG$3:$AG$20,C169)&gt;0,$AG$2,
 IF(COUNTIF($AH$3:$AH$20,C169)&gt;0,$AH$2,
 IF(COUNTIF($AI$3:$AI$20,C169)&gt;0,$AI$2,
 IF(COUNTIF($AJ$3:$AJ$20,C169)&gt;0,$AJ$2,
 IF(COUNTIF($AK$3:$AK$20,C169)&gt;0,$AK$2,
 IF(COUNTIF($AL$3:$AL$20,C169)&gt;0,$AL$2,
 IF(COUNTIF($AM$3:$AM$20,C169)&gt;0,$AM$2,"Not Found")))))))</f>
        <v>Not Found</v>
      </c>
      <c r="E169" s="2" t="s">
        <v>10</v>
      </c>
      <c r="F169" s="2" t="s">
        <v>11</v>
      </c>
      <c r="G169" s="2">
        <v>163</v>
      </c>
      <c r="H169" s="2">
        <v>1757</v>
      </c>
      <c r="I169" s="2">
        <v>108</v>
      </c>
      <c r="J169" s="2">
        <v>0</v>
      </c>
      <c r="K169" s="4">
        <v>0.82199999999999995</v>
      </c>
      <c r="L169" s="4">
        <v>0.49099999999999999</v>
      </c>
      <c r="M169" s="2">
        <v>105.6</v>
      </c>
      <c r="N169" s="2">
        <v>102.2</v>
      </c>
      <c r="O169" s="2">
        <v>91.1</v>
      </c>
      <c r="P169" s="2">
        <v>102.2</v>
      </c>
      <c r="Q169" s="4">
        <v>0.55400000000000005</v>
      </c>
      <c r="R169" s="4">
        <v>0.54200000000000004</v>
      </c>
      <c r="S169" s="4">
        <v>0.48799999999999999</v>
      </c>
      <c r="T169" s="4">
        <v>0.53100000000000003</v>
      </c>
      <c r="U169" s="19">
        <f>Table2[[#This Row],[NET PF]]/Table2[[#This Row],[HOME GAMES]]</f>
        <v>-3.0061349693251533</v>
      </c>
      <c r="V169" s="28">
        <f>393/Table2[[#This Row],[AWAY GAMES]]</f>
        <v>3.6388888888888888</v>
      </c>
      <c r="W169" s="4">
        <v>0.67300000000000004</v>
      </c>
      <c r="X169" s="4">
        <v>0.73399999999999999</v>
      </c>
      <c r="Y169" s="2">
        <v>-490</v>
      </c>
      <c r="Z169" s="2">
        <v>199</v>
      </c>
      <c r="AA169" s="8">
        <f>Table2[[#This Row],[HOME MARGIN]]/Table2[[#This Row],[HOME GAMES]]</f>
        <v>10.779141104294478</v>
      </c>
      <c r="AB169" s="8">
        <f>Table2[[#This Row],[AWAY MARGIN]]/Table2[[#This Row],[AWAY GAMES]]</f>
        <v>0</v>
      </c>
      <c r="AC169" s="8">
        <f>Table2[[#This Row],[HOME MARGIN/GAME]]-Table2[[#This Row],[AWAY MARGIN/GAME]]</f>
        <v>10.779141104294478</v>
      </c>
      <c r="AD169" s="23">
        <f>Table2[[#This Row],[HOME W/L%]]-Table2[[#This Row],[AWAY W/L%]]</f>
        <v>0.33099999999999996</v>
      </c>
      <c r="AE169" s="22"/>
      <c r="AF169"/>
    </row>
    <row r="170" spans="1:32" hidden="1" x14ac:dyDescent="0.2">
      <c r="A170" s="1">
        <v>159</v>
      </c>
      <c r="B170" s="1"/>
      <c r="C170" s="2" t="s">
        <v>171</v>
      </c>
      <c r="D170" s="2" t="str">
        <f>IF(COUNTIF($AG$3:$AG$20,C170)&gt;0,$AG$2,
 IF(COUNTIF($AH$3:$AH$20,C170)&gt;0,$AH$2,
 IF(COUNTIF($AI$3:$AI$20,C170)&gt;0,$AI$2,
 IF(COUNTIF($AJ$3:$AJ$20,C170)&gt;0,$AJ$2,
 IF(COUNTIF($AK$3:$AK$20,C170)&gt;0,$AK$2,
 IF(COUNTIF($AL$3:$AL$20,C170)&gt;0,$AL$2,
 IF(COUNTIF($AM$3:$AM$20,C170)&gt;0,$AM$2,"Not Found")))))))</f>
        <v>Not Found</v>
      </c>
      <c r="E170" s="2" t="s">
        <v>10</v>
      </c>
      <c r="F170" s="2" t="s">
        <v>11</v>
      </c>
      <c r="G170" s="2">
        <v>142</v>
      </c>
      <c r="H170" s="2">
        <v>1207</v>
      </c>
      <c r="I170" s="2">
        <v>138</v>
      </c>
      <c r="J170" s="2">
        <v>-511</v>
      </c>
      <c r="K170" s="4">
        <v>0.63400000000000001</v>
      </c>
      <c r="L170" s="4">
        <v>0.34799999999999998</v>
      </c>
      <c r="M170" s="2">
        <v>109.2</v>
      </c>
      <c r="N170" s="2">
        <v>101.9</v>
      </c>
      <c r="O170" s="2">
        <v>96.9</v>
      </c>
      <c r="P170" s="2">
        <v>107.2</v>
      </c>
      <c r="Q170" s="4">
        <v>0.56100000000000005</v>
      </c>
      <c r="R170" s="4">
        <v>0.53900000000000003</v>
      </c>
      <c r="S170" s="4">
        <v>0.51700000000000002</v>
      </c>
      <c r="T170" s="4">
        <v>0.55400000000000005</v>
      </c>
      <c r="U170" s="19">
        <f>Table2[[#This Row],[NET PF]]/Table2[[#This Row],[HOME GAMES]]</f>
        <v>-0.96478873239436624</v>
      </c>
      <c r="V170" s="28">
        <f>393/Table2[[#This Row],[AWAY GAMES]]</f>
        <v>2.847826086956522</v>
      </c>
      <c r="W170" s="4">
        <v>0.70799999999999996</v>
      </c>
      <c r="X170" s="4">
        <v>0.71599999999999997</v>
      </c>
      <c r="Y170" s="2">
        <v>-137</v>
      </c>
      <c r="Z170" s="2">
        <v>298</v>
      </c>
      <c r="AA170" s="8">
        <f>Table2[[#This Row],[HOME MARGIN]]/Table2[[#This Row],[HOME GAMES]]</f>
        <v>8.5</v>
      </c>
      <c r="AB170" s="8">
        <f>Table2[[#This Row],[AWAY MARGIN]]/Table2[[#This Row],[AWAY GAMES]]</f>
        <v>-3.7028985507246377</v>
      </c>
      <c r="AC170" s="8">
        <f>Table2[[#This Row],[HOME MARGIN/GAME]]-Table2[[#This Row],[AWAY MARGIN/GAME]]</f>
        <v>12.202898550724637</v>
      </c>
      <c r="AD170" s="23">
        <f>Table2[[#This Row],[HOME W/L%]]-Table2[[#This Row],[AWAY W/L%]]</f>
        <v>0.28600000000000003</v>
      </c>
      <c r="AE170" s="22"/>
      <c r="AF170"/>
    </row>
    <row r="171" spans="1:32" hidden="1" x14ac:dyDescent="0.2">
      <c r="A171" s="1">
        <v>344</v>
      </c>
      <c r="B171" s="1"/>
      <c r="C171" s="2" t="s">
        <v>90</v>
      </c>
      <c r="D171" s="2" t="str">
        <f>IF(COUNTIF($AG$3:$AG$20,C171)&gt;0,$AG$2,
 IF(COUNTIF($AH$3:$AH$20,C171)&gt;0,$AH$2,
 IF(COUNTIF($AI$3:$AI$20,C171)&gt;0,$AI$2,
 IF(COUNTIF($AJ$3:$AJ$20,C171)&gt;0,$AJ$2,
 IF(COUNTIF($AK$3:$AK$20,C171)&gt;0,$AK$2,
 IF(COUNTIF($AL$3:$AL$20,C171)&gt;0,$AL$2,
 IF(COUNTIF($AM$3:$AM$20,C171)&gt;0,$AM$2,"Not Found")))))))</f>
        <v>Not Found</v>
      </c>
      <c r="E171" s="2" t="s">
        <v>11</v>
      </c>
      <c r="F171" s="2" t="s">
        <v>11</v>
      </c>
      <c r="G171" s="2">
        <v>13</v>
      </c>
      <c r="H171" s="2">
        <v>151</v>
      </c>
      <c r="I171" s="2">
        <v>18</v>
      </c>
      <c r="J171" s="2">
        <v>-213</v>
      </c>
      <c r="K171" s="4">
        <v>0.84599999999999997</v>
      </c>
      <c r="L171" s="4">
        <v>0.222</v>
      </c>
      <c r="M171" s="2">
        <v>110.8</v>
      </c>
      <c r="N171" s="2">
        <v>95.7</v>
      </c>
      <c r="O171" s="2">
        <v>93.7</v>
      </c>
      <c r="P171" s="2">
        <v>113.8</v>
      </c>
      <c r="Q171" s="4">
        <v>0.56899999999999995</v>
      </c>
      <c r="R171" s="4">
        <v>0.51500000000000001</v>
      </c>
      <c r="S171" s="4">
        <v>0.52500000000000002</v>
      </c>
      <c r="T171" s="4">
        <v>0.60299999999999998</v>
      </c>
      <c r="U171" s="19">
        <f>Table2[[#This Row],[NET PF]]/Table2[[#This Row],[HOME GAMES]]</f>
        <v>-1.3076923076923077</v>
      </c>
      <c r="V171" s="28">
        <f>393/Table2[[#This Row],[AWAY GAMES]]</f>
        <v>21.833333333333332</v>
      </c>
      <c r="W171" s="4">
        <v>0.72499999999999998</v>
      </c>
      <c r="X171" s="4">
        <v>0.71699999999999997</v>
      </c>
      <c r="Y171" s="2">
        <v>-17</v>
      </c>
      <c r="Z171" s="2">
        <v>13</v>
      </c>
      <c r="AA171" s="8">
        <f>Table2[[#This Row],[HOME MARGIN]]/Table2[[#This Row],[HOME GAMES]]</f>
        <v>11.615384615384615</v>
      </c>
      <c r="AB171" s="8">
        <f>Table2[[#This Row],[AWAY MARGIN]]/Table2[[#This Row],[AWAY GAMES]]</f>
        <v>-11.833333333333334</v>
      </c>
      <c r="AC171" s="8">
        <f>Table2[[#This Row],[HOME MARGIN/GAME]]-Table2[[#This Row],[AWAY MARGIN/GAME]]</f>
        <v>23.448717948717949</v>
      </c>
      <c r="AD171" s="23">
        <f>Table2[[#This Row],[HOME W/L%]]-Table2[[#This Row],[AWAY W/L%]]</f>
        <v>0.624</v>
      </c>
      <c r="AE171" s="22"/>
      <c r="AF171"/>
    </row>
    <row r="172" spans="1:32" hidden="1" x14ac:dyDescent="0.2">
      <c r="A172" s="1">
        <v>307</v>
      </c>
      <c r="B172" s="1"/>
      <c r="C172" s="2" t="s">
        <v>105</v>
      </c>
      <c r="D172" s="2" t="str">
        <f>IF(COUNTIF($AG$3:$AG$20,C172)&gt;0,$AG$2,
 IF(COUNTIF($AH$3:$AH$20,C172)&gt;0,$AH$2,
 IF(COUNTIF($AI$3:$AI$20,C172)&gt;0,$AI$2,
 IF(COUNTIF($AJ$3:$AJ$20,C172)&gt;0,$AJ$2,
 IF(COUNTIF($AK$3:$AK$20,C172)&gt;0,$AK$2,
 IF(COUNTIF($AL$3:$AL$20,C172)&gt;0,$AL$2,
 IF(COUNTIF($AM$3:$AM$20,C172)&gt;0,$AM$2,"Not Found")))))))</f>
        <v>Not Found</v>
      </c>
      <c r="E172" s="2" t="s">
        <v>106</v>
      </c>
      <c r="F172" s="2" t="s">
        <v>11</v>
      </c>
      <c r="G172" s="2">
        <v>73</v>
      </c>
      <c r="H172" s="2">
        <v>427</v>
      </c>
      <c r="I172" s="2">
        <v>91</v>
      </c>
      <c r="J172" s="2">
        <v>-285</v>
      </c>
      <c r="K172" s="4">
        <v>0.67100000000000004</v>
      </c>
      <c r="L172" s="4">
        <v>0.47299999999999998</v>
      </c>
      <c r="M172" s="2">
        <v>100.7</v>
      </c>
      <c r="N172" s="2">
        <v>92.6</v>
      </c>
      <c r="O172" s="2">
        <v>91.9</v>
      </c>
      <c r="P172" s="2">
        <v>97.2</v>
      </c>
      <c r="Q172" s="4">
        <v>0.54500000000000004</v>
      </c>
      <c r="R172" s="4">
        <v>0.50900000000000001</v>
      </c>
      <c r="S172" s="4">
        <v>0.503</v>
      </c>
      <c r="T172" s="4">
        <v>0.51900000000000002</v>
      </c>
      <c r="U172" s="19">
        <f>Table2[[#This Row],[NET PF]]/Table2[[#This Row],[HOME GAMES]]</f>
        <v>-1.0547945205479452</v>
      </c>
      <c r="V172" s="28">
        <f>393/Table2[[#This Row],[AWAY GAMES]]</f>
        <v>4.3186813186813184</v>
      </c>
      <c r="W172" s="4">
        <v>0.71299999999999997</v>
      </c>
      <c r="X172" s="4">
        <v>0.70899999999999996</v>
      </c>
      <c r="Y172" s="2">
        <v>-77</v>
      </c>
      <c r="Z172" s="2">
        <v>177</v>
      </c>
      <c r="AA172" s="8">
        <f>Table2[[#This Row],[HOME MARGIN]]/Table2[[#This Row],[HOME GAMES]]</f>
        <v>5.8493150684931505</v>
      </c>
      <c r="AB172" s="8">
        <f>Table2[[#This Row],[AWAY MARGIN]]/Table2[[#This Row],[AWAY GAMES]]</f>
        <v>-3.1318681318681318</v>
      </c>
      <c r="AC172" s="8">
        <f>Table2[[#This Row],[HOME MARGIN/GAME]]-Table2[[#This Row],[AWAY MARGIN/GAME]]</f>
        <v>8.9811832003612828</v>
      </c>
      <c r="AD172" s="23">
        <f>Table2[[#This Row],[HOME W/L%]]-Table2[[#This Row],[AWAY W/L%]]</f>
        <v>0.19800000000000006</v>
      </c>
      <c r="AE172" s="22"/>
      <c r="AF172"/>
    </row>
    <row r="173" spans="1:32" x14ac:dyDescent="0.2">
      <c r="A173" s="1">
        <v>168</v>
      </c>
      <c r="B173" s="1">
        <v>60</v>
      </c>
      <c r="C173" s="2" t="s">
        <v>135</v>
      </c>
      <c r="D173" s="2" t="str">
        <f>IF(COUNTIF($AG$3:$AG$20,C173)&gt;0,$AG$2,
 IF(COUNTIF($AH$3:$AH$20,C173)&gt;0,$AH$2,
 IF(COUNTIF($AI$3:$AI$20,C173)&gt;0,$AI$2,
 IF(COUNTIF($AJ$3:$AJ$20,C173)&gt;0,$AJ$2,
 IF(COUNTIF($AK$3:$AK$20,C173)&gt;0,$AK$2,
 IF(COUNTIF($AL$3:$AL$20,C173)&gt;0,$AL$2,
 IF(COUNTIF($AM$3:$AM$20,C173)&gt;0,$AM$2,"Not Found")))))))</f>
        <v>ACC</v>
      </c>
      <c r="E173" s="2" t="s">
        <v>10</v>
      </c>
      <c r="F173" s="2" t="s">
        <v>11</v>
      </c>
      <c r="G173" s="2">
        <v>157</v>
      </c>
      <c r="H173" s="2">
        <v>1152</v>
      </c>
      <c r="I173" s="2">
        <v>108</v>
      </c>
      <c r="J173" s="2">
        <v>-376</v>
      </c>
      <c r="K173" s="4">
        <v>0.70699999999999996</v>
      </c>
      <c r="L173" s="4">
        <v>0.38900000000000001</v>
      </c>
      <c r="M173" s="2">
        <v>108.9</v>
      </c>
      <c r="N173" s="2">
        <v>101.9</v>
      </c>
      <c r="O173" s="2">
        <v>98.4</v>
      </c>
      <c r="P173" s="2">
        <v>106.9</v>
      </c>
      <c r="Q173" s="4">
        <v>0.56499999999999995</v>
      </c>
      <c r="R173" s="4">
        <v>0.53400000000000003</v>
      </c>
      <c r="S173" s="4">
        <v>0.51900000000000002</v>
      </c>
      <c r="T173" s="4">
        <v>0.55700000000000005</v>
      </c>
      <c r="U173" s="19">
        <f>Table2[[#This Row],[NET PF]]/Table2[[#This Row],[HOME GAMES]]</f>
        <v>-2.8980891719745223</v>
      </c>
      <c r="V173" s="28">
        <f>393/Table2[[#This Row],[AWAY GAMES]]</f>
        <v>3.6388888888888888</v>
      </c>
      <c r="W173" s="4">
        <v>0.70699999999999996</v>
      </c>
      <c r="X173" s="4">
        <v>0.72599999999999998</v>
      </c>
      <c r="Y173" s="2">
        <v>-455</v>
      </c>
      <c r="Z173" s="2">
        <v>42</v>
      </c>
      <c r="AA173" s="8">
        <f>Table2[[#This Row],[HOME MARGIN]]/Table2[[#This Row],[HOME GAMES]]</f>
        <v>7.3375796178343951</v>
      </c>
      <c r="AB173" s="8">
        <f>Table2[[#This Row],[AWAY MARGIN]]/Table2[[#This Row],[AWAY GAMES]]</f>
        <v>-3.4814814814814814</v>
      </c>
      <c r="AC173" s="8">
        <f>Table2[[#This Row],[HOME MARGIN/GAME]]-Table2[[#This Row],[AWAY MARGIN/GAME]]</f>
        <v>10.819061099315876</v>
      </c>
      <c r="AD173" s="23">
        <f>Table2[[#This Row],[HOME W/L%]]-Table2[[#This Row],[AWAY W/L%]]</f>
        <v>0.31799999999999995</v>
      </c>
      <c r="AE173" s="22"/>
      <c r="AF173"/>
    </row>
    <row r="174" spans="1:32" hidden="1" x14ac:dyDescent="0.2">
      <c r="A174" s="1">
        <v>176</v>
      </c>
      <c r="B174" s="1"/>
      <c r="C174" s="2" t="s">
        <v>335</v>
      </c>
      <c r="D174" s="2" t="str">
        <f>IF(COUNTIF($AG$3:$AG$20,C174)&gt;0,$AG$2,
 IF(COUNTIF($AH$3:$AH$20,C174)&gt;0,$AH$2,
 IF(COUNTIF($AI$3:$AI$20,C174)&gt;0,$AI$2,
 IF(COUNTIF($AJ$3:$AJ$20,C174)&gt;0,$AJ$2,
 IF(COUNTIF($AK$3:$AK$20,C174)&gt;0,$AK$2,
 IF(COUNTIF($AL$3:$AL$20,C174)&gt;0,$AL$2,
 IF(COUNTIF($AM$3:$AM$20,C174)&gt;0,$AM$2,"Not Found")))))))</f>
        <v>Not Found</v>
      </c>
      <c r="E174" s="2" t="s">
        <v>10</v>
      </c>
      <c r="F174" s="2" t="s">
        <v>11</v>
      </c>
      <c r="G174" s="2">
        <v>157</v>
      </c>
      <c r="H174" s="2">
        <v>1099</v>
      </c>
      <c r="I174" s="2">
        <v>133</v>
      </c>
      <c r="J174" s="2">
        <v>-891</v>
      </c>
      <c r="K174" s="4">
        <v>0.61799999999999999</v>
      </c>
      <c r="L174" s="4">
        <v>0.29299999999999998</v>
      </c>
      <c r="M174" s="2">
        <v>106.6</v>
      </c>
      <c r="N174" s="2">
        <v>97.8</v>
      </c>
      <c r="O174" s="2">
        <v>96.7</v>
      </c>
      <c r="P174" s="2">
        <v>107.4</v>
      </c>
      <c r="Q174" s="4">
        <v>0.55900000000000005</v>
      </c>
      <c r="R174" s="4">
        <v>0.52100000000000002</v>
      </c>
      <c r="S174" s="4">
        <v>0.52200000000000002</v>
      </c>
      <c r="T174" s="4">
        <v>0.56200000000000006</v>
      </c>
      <c r="U174" s="19">
        <f>Table2[[#This Row],[NET PF]]/Table2[[#This Row],[HOME GAMES]]</f>
        <v>-1.2292993630573248</v>
      </c>
      <c r="V174" s="28">
        <f>393/Table2[[#This Row],[AWAY GAMES]]</f>
        <v>2.9548872180451129</v>
      </c>
      <c r="W174" s="4">
        <v>0.69299999999999995</v>
      </c>
      <c r="X174" s="4">
        <v>0.747</v>
      </c>
      <c r="Y174" s="2">
        <v>-193</v>
      </c>
      <c r="Z174" s="2">
        <v>284</v>
      </c>
      <c r="AA174" s="8">
        <f>Table2[[#This Row],[HOME MARGIN]]/Table2[[#This Row],[HOME GAMES]]</f>
        <v>7</v>
      </c>
      <c r="AB174" s="8">
        <f>Table2[[#This Row],[AWAY MARGIN]]/Table2[[#This Row],[AWAY GAMES]]</f>
        <v>-6.6992481203007515</v>
      </c>
      <c r="AC174" s="8">
        <f>Table2[[#This Row],[HOME MARGIN/GAME]]-Table2[[#This Row],[AWAY MARGIN/GAME]]</f>
        <v>13.699248120300751</v>
      </c>
      <c r="AD174" s="23">
        <f>Table2[[#This Row],[HOME W/L%]]-Table2[[#This Row],[AWAY W/L%]]</f>
        <v>0.32500000000000001</v>
      </c>
      <c r="AE174" s="22"/>
      <c r="AF174"/>
    </row>
    <row r="175" spans="1:32" x14ac:dyDescent="0.2">
      <c r="A175" s="1">
        <v>61</v>
      </c>
      <c r="B175" s="1">
        <v>32</v>
      </c>
      <c r="C175" s="2" t="s">
        <v>86</v>
      </c>
      <c r="D175" s="2" t="str">
        <f>IF(COUNTIF($AG$3:$AG$20,C175)&gt;0,$AG$2,
 IF(COUNTIF($AH$3:$AH$20,C175)&gt;0,$AH$2,
 IF(COUNTIF($AI$3:$AI$20,C175)&gt;0,$AI$2,
 IF(COUNTIF($AJ$3:$AJ$20,C175)&gt;0,$AJ$2,
 IF(COUNTIF($AK$3:$AK$20,C175)&gt;0,$AK$2,
 IF(COUNTIF($AL$3:$AL$20,C175)&gt;0,$AL$2,
 IF(COUNTIF($AM$3:$AM$20,C175)&gt;0,$AM$2,"Not Found")))))))</f>
        <v>Big 10</v>
      </c>
      <c r="E175" s="2" t="s">
        <v>10</v>
      </c>
      <c r="F175" s="2" t="s">
        <v>11</v>
      </c>
      <c r="G175" s="2">
        <v>161</v>
      </c>
      <c r="H175" s="2">
        <v>1834</v>
      </c>
      <c r="I175" s="2">
        <v>106</v>
      </c>
      <c r="J175" s="2">
        <v>-185</v>
      </c>
      <c r="K175" s="4">
        <v>0.77</v>
      </c>
      <c r="L175" s="4">
        <v>0.443</v>
      </c>
      <c r="M175" s="2">
        <v>111.2</v>
      </c>
      <c r="N175" s="2">
        <v>103.3</v>
      </c>
      <c r="O175" s="2">
        <v>94.6</v>
      </c>
      <c r="P175" s="2">
        <v>105.9</v>
      </c>
      <c r="Q175" s="4">
        <v>0.57999999999999996</v>
      </c>
      <c r="R175" s="4">
        <v>0.53800000000000003</v>
      </c>
      <c r="S175" s="4">
        <v>0.5</v>
      </c>
      <c r="T175" s="4">
        <v>0.54200000000000004</v>
      </c>
      <c r="U175" s="19">
        <f>Table2[[#This Row],[NET PF]]/Table2[[#This Row],[HOME GAMES]]</f>
        <v>-2.347826086956522</v>
      </c>
      <c r="V175" s="28">
        <f>393/Table2[[#This Row],[AWAY GAMES]]</f>
        <v>3.7075471698113209</v>
      </c>
      <c r="W175" s="4">
        <v>0.71099999999999997</v>
      </c>
      <c r="X175" s="4">
        <v>0.71599999999999997</v>
      </c>
      <c r="Y175" s="2">
        <v>-378</v>
      </c>
      <c r="Z175" s="2">
        <v>105</v>
      </c>
      <c r="AA175" s="8">
        <f>Table2[[#This Row],[HOME MARGIN]]/Table2[[#This Row],[HOME GAMES]]</f>
        <v>11.391304347826088</v>
      </c>
      <c r="AB175" s="8">
        <f>Table2[[#This Row],[AWAY MARGIN]]/Table2[[#This Row],[AWAY GAMES]]</f>
        <v>-1.7452830188679245</v>
      </c>
      <c r="AC175" s="8">
        <f>Table2[[#This Row],[HOME MARGIN/GAME]]-Table2[[#This Row],[AWAY MARGIN/GAME]]</f>
        <v>13.136587366694013</v>
      </c>
      <c r="AD175" s="23">
        <f>Table2[[#This Row],[HOME W/L%]]-Table2[[#This Row],[AWAY W/L%]]</f>
        <v>0.32700000000000001</v>
      </c>
      <c r="AE175" s="22"/>
      <c r="AF175"/>
    </row>
    <row r="176" spans="1:32" x14ac:dyDescent="0.2">
      <c r="A176" s="1">
        <v>11</v>
      </c>
      <c r="B176" s="1">
        <v>7</v>
      </c>
      <c r="C176" s="2" t="s">
        <v>42</v>
      </c>
      <c r="D176" s="2" t="str">
        <f>IF(COUNTIF($AG$3:$AG$20,C176)&gt;0,$AG$2,
 IF(COUNTIF($AH$3:$AH$20,C176)&gt;0,$AH$2,
 IF(COUNTIF($AI$3:$AI$20,C176)&gt;0,$AI$2,
 IF(COUNTIF($AJ$3:$AJ$20,C176)&gt;0,$AJ$2,
 IF(COUNTIF($AK$3:$AK$20,C176)&gt;0,$AK$2,
 IF(COUNTIF($AL$3:$AL$20,C176)&gt;0,$AL$2,
 IF(COUNTIF($AM$3:$AM$20,C176)&gt;0,$AM$2,"Not Found")))))))</f>
        <v>Big 10</v>
      </c>
      <c r="E176" s="2" t="s">
        <v>10</v>
      </c>
      <c r="F176" s="2" t="s">
        <v>11</v>
      </c>
      <c r="G176" s="2">
        <v>158</v>
      </c>
      <c r="H176" s="2">
        <v>2447</v>
      </c>
      <c r="I176" s="2">
        <v>105</v>
      </c>
      <c r="J176" s="2">
        <v>75</v>
      </c>
      <c r="K176" s="4">
        <v>0.86099999999999999</v>
      </c>
      <c r="L176" s="4">
        <v>0.53300000000000003</v>
      </c>
      <c r="M176" s="2">
        <v>113.1</v>
      </c>
      <c r="N176" s="2">
        <v>104.5</v>
      </c>
      <c r="O176" s="2">
        <v>90.9</v>
      </c>
      <c r="P176" s="2">
        <v>103.4</v>
      </c>
      <c r="Q176" s="4">
        <v>0.58099999999999996</v>
      </c>
      <c r="R176" s="4">
        <v>0.54700000000000004</v>
      </c>
      <c r="S176" s="4">
        <v>0.46899999999999997</v>
      </c>
      <c r="T176" s="4">
        <v>0.52600000000000002</v>
      </c>
      <c r="U176" s="19">
        <f>Table2[[#This Row],[NET PF]]/Table2[[#This Row],[HOME GAMES]]</f>
        <v>-1.7658227848101267</v>
      </c>
      <c r="V176" s="28">
        <f>393/Table2[[#This Row],[AWAY GAMES]]</f>
        <v>3.7428571428571429</v>
      </c>
      <c r="W176" s="4">
        <v>0.68899999999999995</v>
      </c>
      <c r="X176" s="4">
        <v>0.73899999999999999</v>
      </c>
      <c r="Y176" s="2">
        <v>-279</v>
      </c>
      <c r="Z176" s="2">
        <v>173</v>
      </c>
      <c r="AA176" s="8">
        <f>Table2[[#This Row],[HOME MARGIN]]/Table2[[#This Row],[HOME GAMES]]</f>
        <v>15.487341772151899</v>
      </c>
      <c r="AB176" s="8">
        <f>Table2[[#This Row],[AWAY MARGIN]]/Table2[[#This Row],[AWAY GAMES]]</f>
        <v>0.7142857142857143</v>
      </c>
      <c r="AC176" s="8">
        <f>Table2[[#This Row],[HOME MARGIN/GAME]]-Table2[[#This Row],[AWAY MARGIN/GAME]]</f>
        <v>14.773056057866185</v>
      </c>
      <c r="AD176" s="23">
        <f>Table2[[#This Row],[HOME W/L%]]-Table2[[#This Row],[AWAY W/L%]]</f>
        <v>0.32799999999999996</v>
      </c>
      <c r="AE176" s="22"/>
      <c r="AF176"/>
    </row>
    <row r="177" spans="1:32" hidden="1" x14ac:dyDescent="0.2">
      <c r="A177" s="1">
        <v>153</v>
      </c>
      <c r="B177" s="1"/>
      <c r="C177" s="2" t="s">
        <v>174</v>
      </c>
      <c r="D177" s="2" t="str">
        <f>IF(COUNTIF($AG$3:$AG$20,C177)&gt;0,$AG$2,
 IF(COUNTIF($AH$3:$AH$20,C177)&gt;0,$AH$2,
 IF(COUNTIF($AI$3:$AI$20,C177)&gt;0,$AI$2,
 IF(COUNTIF($AJ$3:$AJ$20,C177)&gt;0,$AJ$2,
 IF(COUNTIF($AK$3:$AK$20,C177)&gt;0,$AK$2,
 IF(COUNTIF($AL$3:$AL$20,C177)&gt;0,$AL$2,
 IF(COUNTIF($AM$3:$AM$20,C177)&gt;0,$AM$2,"Not Found")))))))</f>
        <v>Not Found</v>
      </c>
      <c r="E177" s="2" t="s">
        <v>10</v>
      </c>
      <c r="F177" s="2" t="s">
        <v>11</v>
      </c>
      <c r="G177" s="2">
        <v>143</v>
      </c>
      <c r="H177" s="2">
        <v>1244</v>
      </c>
      <c r="I177" s="2">
        <v>126</v>
      </c>
      <c r="J177" s="2">
        <v>-518</v>
      </c>
      <c r="K177" s="4">
        <v>0.72</v>
      </c>
      <c r="L177" s="4">
        <v>0.42099999999999999</v>
      </c>
      <c r="M177" s="2">
        <v>105.3</v>
      </c>
      <c r="N177" s="2">
        <v>98.4</v>
      </c>
      <c r="O177" s="2">
        <v>92.9</v>
      </c>
      <c r="P177" s="2">
        <v>104.3</v>
      </c>
      <c r="Q177" s="4">
        <v>0.54300000000000004</v>
      </c>
      <c r="R177" s="4">
        <v>0.52100000000000002</v>
      </c>
      <c r="S177" s="4">
        <v>0.50700000000000001</v>
      </c>
      <c r="T177" s="4">
        <v>0.55300000000000005</v>
      </c>
      <c r="U177" s="19">
        <f>Table2[[#This Row],[NET PF]]/Table2[[#This Row],[HOME GAMES]]</f>
        <v>0.61538461538461542</v>
      </c>
      <c r="V177" s="28">
        <f>393/Table2[[#This Row],[AWAY GAMES]]</f>
        <v>3.1190476190476191</v>
      </c>
      <c r="W177" s="4">
        <v>0.70399999999999996</v>
      </c>
      <c r="X177" s="4">
        <v>0.72399999999999998</v>
      </c>
      <c r="Y177" s="2">
        <v>88</v>
      </c>
      <c r="Z177" s="2">
        <v>391</v>
      </c>
      <c r="AA177" s="8">
        <f>Table2[[#This Row],[HOME MARGIN]]/Table2[[#This Row],[HOME GAMES]]</f>
        <v>8.6993006993007</v>
      </c>
      <c r="AB177" s="8">
        <f>Table2[[#This Row],[AWAY MARGIN]]/Table2[[#This Row],[AWAY GAMES]]</f>
        <v>-4.1111111111111107</v>
      </c>
      <c r="AC177" s="8">
        <f>Table2[[#This Row],[HOME MARGIN/GAME]]-Table2[[#This Row],[AWAY MARGIN/GAME]]</f>
        <v>12.810411810411811</v>
      </c>
      <c r="AD177" s="23">
        <f>Table2[[#This Row],[HOME W/L%]]-Table2[[#This Row],[AWAY W/L%]]</f>
        <v>0.29899999999999999</v>
      </c>
      <c r="AE177" s="22"/>
      <c r="AF177"/>
    </row>
    <row r="178" spans="1:32" hidden="1" x14ac:dyDescent="0.2">
      <c r="A178" s="1">
        <v>255</v>
      </c>
      <c r="B178" s="1"/>
      <c r="C178" s="2" t="s">
        <v>206</v>
      </c>
      <c r="D178" s="2" t="str">
        <f>IF(COUNTIF($AG$3:$AG$20,C178)&gt;0,$AG$2,
 IF(COUNTIF($AH$3:$AH$20,C178)&gt;0,$AH$2,
 IF(COUNTIF($AI$3:$AI$20,C178)&gt;0,$AI$2,
 IF(COUNTIF($AJ$3:$AJ$20,C178)&gt;0,$AJ$2,
 IF(COUNTIF($AK$3:$AK$20,C178)&gt;0,$AK$2,
 IF(COUNTIF($AL$3:$AL$20,C178)&gt;0,$AL$2,
 IF(COUNTIF($AM$3:$AM$20,C178)&gt;0,$AM$2,"Not Found")))))))</f>
        <v>Not Found</v>
      </c>
      <c r="E178" s="2" t="s">
        <v>10</v>
      </c>
      <c r="F178" s="2" t="s">
        <v>11</v>
      </c>
      <c r="G178" s="2">
        <v>141</v>
      </c>
      <c r="H178" s="2">
        <v>716</v>
      </c>
      <c r="I178" s="2">
        <v>137</v>
      </c>
      <c r="J178" s="2">
        <v>-623</v>
      </c>
      <c r="K178" s="4">
        <v>0.58899999999999997</v>
      </c>
      <c r="L178" s="4">
        <v>0.35799999999999998</v>
      </c>
      <c r="M178" s="2">
        <v>107.6</v>
      </c>
      <c r="N178" s="2">
        <v>99</v>
      </c>
      <c r="O178" s="2">
        <v>100.5</v>
      </c>
      <c r="P178" s="2">
        <v>105.5</v>
      </c>
      <c r="Q178" s="4">
        <v>0.55400000000000005</v>
      </c>
      <c r="R178" s="4">
        <v>0.52500000000000002</v>
      </c>
      <c r="S178" s="4">
        <v>0.53100000000000003</v>
      </c>
      <c r="T178" s="4">
        <v>0.54400000000000004</v>
      </c>
      <c r="U178" s="19">
        <f>Table2[[#This Row],[NET PF]]/Table2[[#This Row],[HOME GAMES]]</f>
        <v>-1.2340425531914894</v>
      </c>
      <c r="V178" s="28">
        <f>393/Table2[[#This Row],[AWAY GAMES]]</f>
        <v>2.8686131386861313</v>
      </c>
      <c r="W178" s="4">
        <v>0.73</v>
      </c>
      <c r="X178" s="4">
        <v>0.71799999999999997</v>
      </c>
      <c r="Y178" s="2">
        <v>-174</v>
      </c>
      <c r="Z178" s="2">
        <v>294</v>
      </c>
      <c r="AA178" s="8">
        <f>Table2[[#This Row],[HOME MARGIN]]/Table2[[#This Row],[HOME GAMES]]</f>
        <v>5.0780141843971629</v>
      </c>
      <c r="AB178" s="8">
        <f>Table2[[#This Row],[AWAY MARGIN]]/Table2[[#This Row],[AWAY GAMES]]</f>
        <v>-4.5474452554744529</v>
      </c>
      <c r="AC178" s="8">
        <f>Table2[[#This Row],[HOME MARGIN/GAME]]-Table2[[#This Row],[AWAY MARGIN/GAME]]</f>
        <v>9.6254594398716158</v>
      </c>
      <c r="AD178" s="23">
        <f>Table2[[#This Row],[HOME W/L%]]-Table2[[#This Row],[AWAY W/L%]]</f>
        <v>0.23099999999999998</v>
      </c>
      <c r="AE178" s="22"/>
      <c r="AF178"/>
    </row>
    <row r="179" spans="1:32" x14ac:dyDescent="0.2">
      <c r="A179" s="1">
        <v>209</v>
      </c>
      <c r="B179" s="1">
        <v>73</v>
      </c>
      <c r="C179" s="2" t="s">
        <v>333</v>
      </c>
      <c r="D179" s="2" t="str">
        <f>IF(COUNTIF($AG$3:$AG$20,C179)&gt;0,$AG$2,
 IF(COUNTIF($AH$3:$AH$20,C179)&gt;0,$AH$2,
 IF(COUNTIF($AI$3:$AI$20,C179)&gt;0,$AI$2,
 IF(COUNTIF($AJ$3:$AJ$20,C179)&gt;0,$AJ$2,
 IF(COUNTIF($AK$3:$AK$20,C179)&gt;0,$AK$2,
 IF(COUNTIF($AL$3:$AL$20,C179)&gt;0,$AL$2,
 IF(COUNTIF($AM$3:$AM$20,C179)&gt;0,$AM$2,"Not Found")))))))</f>
        <v>Big 10</v>
      </c>
      <c r="E179" s="2" t="s">
        <v>10</v>
      </c>
      <c r="F179" s="2" t="s">
        <v>11</v>
      </c>
      <c r="G179" s="2">
        <v>175</v>
      </c>
      <c r="H179" s="2">
        <v>930</v>
      </c>
      <c r="I179" s="2">
        <v>105</v>
      </c>
      <c r="J179" s="2">
        <v>-894</v>
      </c>
      <c r="K179" s="4">
        <v>0.64600000000000002</v>
      </c>
      <c r="L179" s="4">
        <v>0.21</v>
      </c>
      <c r="M179" s="2">
        <v>105.1</v>
      </c>
      <c r="N179" s="2">
        <v>96</v>
      </c>
      <c r="O179" s="2">
        <v>97.6</v>
      </c>
      <c r="P179" s="2">
        <v>108.4</v>
      </c>
      <c r="Q179" s="4">
        <v>0.54300000000000004</v>
      </c>
      <c r="R179" s="4">
        <v>0.495</v>
      </c>
      <c r="S179" s="4">
        <v>0.50800000000000001</v>
      </c>
      <c r="T179" s="4">
        <v>0.55300000000000005</v>
      </c>
      <c r="U179" s="19">
        <f>Table2[[#This Row],[NET PF]]/Table2[[#This Row],[HOME GAMES]]</f>
        <v>-3.04</v>
      </c>
      <c r="V179" s="28">
        <f>393/Table2[[#This Row],[AWAY GAMES]]</f>
        <v>3.7428571428571429</v>
      </c>
      <c r="W179" s="4">
        <v>0.71699999999999997</v>
      </c>
      <c r="X179" s="4">
        <v>0.69599999999999995</v>
      </c>
      <c r="Y179" s="2">
        <v>-532</v>
      </c>
      <c r="Z179" s="2">
        <v>133</v>
      </c>
      <c r="AA179" s="8">
        <f>Table2[[#This Row],[HOME MARGIN]]/Table2[[#This Row],[HOME GAMES]]</f>
        <v>5.3142857142857141</v>
      </c>
      <c r="AB179" s="8">
        <f>Table2[[#This Row],[AWAY MARGIN]]/Table2[[#This Row],[AWAY GAMES]]</f>
        <v>-8.5142857142857142</v>
      </c>
      <c r="AC179" s="8">
        <f>Table2[[#This Row],[HOME MARGIN/GAME]]-Table2[[#This Row],[AWAY MARGIN/GAME]]</f>
        <v>13.828571428571429</v>
      </c>
      <c r="AD179" s="23">
        <f>Table2[[#This Row],[HOME W/L%]]-Table2[[#This Row],[AWAY W/L%]]</f>
        <v>0.43600000000000005</v>
      </c>
      <c r="AE179" s="22"/>
      <c r="AF179"/>
    </row>
    <row r="180" spans="1:32" x14ac:dyDescent="0.2">
      <c r="A180" s="1">
        <v>83</v>
      </c>
      <c r="B180" s="1">
        <v>44</v>
      </c>
      <c r="C180" s="2" t="s">
        <v>146</v>
      </c>
      <c r="D180" s="2" t="str">
        <f>IF(COUNTIF($AG$3:$AG$20,C180)&gt;0,$AG$2,
 IF(COUNTIF($AH$3:$AH$20,C180)&gt;0,$AH$2,
 IF(COUNTIF($AI$3:$AI$20,C180)&gt;0,$AI$2,
 IF(COUNTIF($AJ$3:$AJ$20,C180)&gt;0,$AJ$2,
 IF(COUNTIF($AK$3:$AK$20,C180)&gt;0,$AK$2,
 IF(COUNTIF($AL$3:$AL$20,C180)&gt;0,$AL$2,
 IF(COUNTIF($AM$3:$AM$20,C180)&gt;0,$AM$2,"Not Found")))))))</f>
        <v>SEC</v>
      </c>
      <c r="E180" s="2" t="s">
        <v>10</v>
      </c>
      <c r="F180" s="2" t="s">
        <v>11</v>
      </c>
      <c r="G180" s="2">
        <v>163</v>
      </c>
      <c r="H180" s="2">
        <v>1643</v>
      </c>
      <c r="I180" s="2">
        <v>101</v>
      </c>
      <c r="J180" s="2">
        <v>-424</v>
      </c>
      <c r="K180" s="4">
        <v>0.748</v>
      </c>
      <c r="L180" s="4">
        <v>0.32700000000000001</v>
      </c>
      <c r="M180" s="2">
        <v>109.5</v>
      </c>
      <c r="N180" s="2">
        <v>98.4</v>
      </c>
      <c r="O180" s="2">
        <v>95.1</v>
      </c>
      <c r="P180" s="2">
        <v>104.4</v>
      </c>
      <c r="Q180" s="4">
        <v>0.56299999999999994</v>
      </c>
      <c r="R180" s="4">
        <v>0.51500000000000001</v>
      </c>
      <c r="S180" s="4">
        <v>0.50800000000000001</v>
      </c>
      <c r="T180" s="4">
        <v>0.54300000000000004</v>
      </c>
      <c r="U180" s="19">
        <f>Table2[[#This Row],[NET PF]]/Table2[[#This Row],[HOME GAMES]]</f>
        <v>-1.8404907975460123</v>
      </c>
      <c r="V180" s="28">
        <f>393/Table2[[#This Row],[AWAY GAMES]]</f>
        <v>3.891089108910891</v>
      </c>
      <c r="W180" s="4">
        <v>0.70499999999999996</v>
      </c>
      <c r="X180" s="4">
        <v>0.74099999999999999</v>
      </c>
      <c r="Y180" s="2">
        <v>-300</v>
      </c>
      <c r="Z180" s="2">
        <v>265</v>
      </c>
      <c r="AA180" s="8">
        <f>Table2[[#This Row],[HOME MARGIN]]/Table2[[#This Row],[HOME GAMES]]</f>
        <v>10.079754601226995</v>
      </c>
      <c r="AB180" s="8">
        <f>Table2[[#This Row],[AWAY MARGIN]]/Table2[[#This Row],[AWAY GAMES]]</f>
        <v>-4.1980198019801982</v>
      </c>
      <c r="AC180" s="8">
        <f>Table2[[#This Row],[HOME MARGIN/GAME]]-Table2[[#This Row],[AWAY MARGIN/GAME]]</f>
        <v>14.277774403207193</v>
      </c>
      <c r="AD180" s="23">
        <f>Table2[[#This Row],[HOME W/L%]]-Table2[[#This Row],[AWAY W/L%]]</f>
        <v>0.42099999999999999</v>
      </c>
      <c r="AE180" s="22"/>
      <c r="AF180"/>
    </row>
    <row r="181" spans="1:32" hidden="1" x14ac:dyDescent="0.2">
      <c r="A181" s="1">
        <v>367</v>
      </c>
      <c r="B181" s="1"/>
      <c r="C181" s="2" t="s">
        <v>217</v>
      </c>
      <c r="D181" s="2" t="str">
        <f>IF(COUNTIF($AG$3:$AG$20,C181)&gt;0,$AG$2,
 IF(COUNTIF($AH$3:$AH$20,C181)&gt;0,$AH$2,
 IF(COUNTIF($AI$3:$AI$20,C181)&gt;0,$AI$2,
 IF(COUNTIF($AJ$3:$AJ$20,C181)&gt;0,$AJ$2,
 IF(COUNTIF($AK$3:$AK$20,C181)&gt;0,$AK$2,
 IF(COUNTIF($AL$3:$AL$20,C181)&gt;0,$AL$2,
 IF(COUNTIF($AM$3:$AM$20,C181)&gt;0,$AM$2,"Not Found")))))))</f>
        <v>Not Found</v>
      </c>
      <c r="E181" s="2" t="s">
        <v>10</v>
      </c>
      <c r="F181" s="2" t="s">
        <v>11</v>
      </c>
      <c r="G181" s="2">
        <v>95</v>
      </c>
      <c r="H181" s="2">
        <v>-588</v>
      </c>
      <c r="I181" s="2">
        <v>201</v>
      </c>
      <c r="J181" s="2">
        <v>-4809</v>
      </c>
      <c r="K181" s="4">
        <v>0.27400000000000002</v>
      </c>
      <c r="L181" s="4">
        <v>6.5000000000000002E-2</v>
      </c>
      <c r="M181" s="2">
        <v>94.7</v>
      </c>
      <c r="N181" s="2">
        <v>82.6</v>
      </c>
      <c r="O181" s="2">
        <v>103.3</v>
      </c>
      <c r="P181" s="2">
        <v>115.5</v>
      </c>
      <c r="Q181" s="4">
        <v>0.504</v>
      </c>
      <c r="R181" s="4">
        <v>0.45200000000000001</v>
      </c>
      <c r="S181" s="4">
        <v>0.54500000000000004</v>
      </c>
      <c r="T181" s="4">
        <v>0.58899999999999997</v>
      </c>
      <c r="U181" s="19">
        <f>Table2[[#This Row],[NET PF]]/Table2[[#This Row],[HOME GAMES]]</f>
        <v>-0.17894736842105263</v>
      </c>
      <c r="V181" s="28">
        <f>393/Table2[[#This Row],[AWAY GAMES]]</f>
        <v>1.955223880597015</v>
      </c>
      <c r="W181" s="4">
        <v>0.68</v>
      </c>
      <c r="X181" s="4">
        <v>0.69899999999999995</v>
      </c>
      <c r="Y181" s="2">
        <v>-17</v>
      </c>
      <c r="Z181" s="2">
        <v>475</v>
      </c>
      <c r="AA181" s="8">
        <f>Table2[[#This Row],[HOME MARGIN]]/Table2[[#This Row],[HOME GAMES]]</f>
        <v>-6.189473684210526</v>
      </c>
      <c r="AB181" s="8">
        <f>Table2[[#This Row],[AWAY MARGIN]]/Table2[[#This Row],[AWAY GAMES]]</f>
        <v>-23.925373134328357</v>
      </c>
      <c r="AC181" s="8">
        <f>Table2[[#This Row],[HOME MARGIN/GAME]]-Table2[[#This Row],[AWAY MARGIN/GAME]]</f>
        <v>17.735899450117831</v>
      </c>
      <c r="AD181" s="23">
        <f>Table2[[#This Row],[HOME W/L%]]-Table2[[#This Row],[AWAY W/L%]]</f>
        <v>0.20900000000000002</v>
      </c>
      <c r="AE181" s="22"/>
      <c r="AF181"/>
    </row>
    <row r="182" spans="1:32" x14ac:dyDescent="0.2">
      <c r="A182" s="1">
        <v>171</v>
      </c>
      <c r="B182" s="1">
        <v>63</v>
      </c>
      <c r="C182" s="2" t="s">
        <v>346</v>
      </c>
      <c r="D182" s="2" t="str">
        <f>IF(COUNTIF($AG$3:$AG$20,C182)&gt;0,$AG$2,
 IF(COUNTIF($AH$3:$AH$20,C182)&gt;0,$AH$2,
 IF(COUNTIF($AI$3:$AI$20,C182)&gt;0,$AI$2,
 IF(COUNTIF($AJ$3:$AJ$20,C182)&gt;0,$AJ$2,
 IF(COUNTIF($AK$3:$AK$20,C182)&gt;0,$AK$2,
 IF(COUNTIF($AL$3:$AL$20,C182)&gt;0,$AL$2,
 IF(COUNTIF($AM$3:$AM$20,C182)&gt;0,$AM$2,"Not Found")))))))</f>
        <v>SEC</v>
      </c>
      <c r="E182" s="2" t="s">
        <v>10</v>
      </c>
      <c r="F182" s="2" t="s">
        <v>11</v>
      </c>
      <c r="G182" s="2">
        <v>166</v>
      </c>
      <c r="H182" s="2">
        <v>1125</v>
      </c>
      <c r="I182" s="2">
        <v>107</v>
      </c>
      <c r="J182" s="2">
        <v>-823</v>
      </c>
      <c r="K182" s="4">
        <v>0.63900000000000001</v>
      </c>
      <c r="L182" s="4">
        <v>0.252</v>
      </c>
      <c r="M182" s="2">
        <v>106.9</v>
      </c>
      <c r="N182" s="2">
        <v>97.5</v>
      </c>
      <c r="O182" s="2">
        <v>97.3</v>
      </c>
      <c r="P182" s="2">
        <v>108.6</v>
      </c>
      <c r="Q182" s="4">
        <v>0.56000000000000005</v>
      </c>
      <c r="R182" s="4">
        <v>0.52100000000000002</v>
      </c>
      <c r="S182" s="4">
        <v>0.51600000000000001</v>
      </c>
      <c r="T182" s="4">
        <v>0.56100000000000005</v>
      </c>
      <c r="U182" s="19">
        <f>Table2[[#This Row],[NET PF]]/Table2[[#This Row],[HOME GAMES]]</f>
        <v>-1.3072289156626506</v>
      </c>
      <c r="V182" s="28">
        <f>393/Table2[[#This Row],[AWAY GAMES]]</f>
        <v>3.6728971962616823</v>
      </c>
      <c r="W182" s="4">
        <v>0.71799999999999997</v>
      </c>
      <c r="X182" s="4">
        <v>0.72699999999999998</v>
      </c>
      <c r="Y182" s="2">
        <v>-217</v>
      </c>
      <c r="Z182" s="2">
        <v>399</v>
      </c>
      <c r="AA182" s="8">
        <f>Table2[[#This Row],[HOME MARGIN]]/Table2[[#This Row],[HOME GAMES]]</f>
        <v>6.7771084337349397</v>
      </c>
      <c r="AB182" s="8">
        <f>Table2[[#This Row],[AWAY MARGIN]]/Table2[[#This Row],[AWAY GAMES]]</f>
        <v>-7.6915887850467293</v>
      </c>
      <c r="AC182" s="8">
        <f>Table2[[#This Row],[HOME MARGIN/GAME]]-Table2[[#This Row],[AWAY MARGIN/GAME]]</f>
        <v>14.468697218781669</v>
      </c>
      <c r="AD182" s="23">
        <f>Table2[[#This Row],[HOME W/L%]]-Table2[[#This Row],[AWAY W/L%]]</f>
        <v>0.38700000000000001</v>
      </c>
      <c r="AE182" s="22"/>
      <c r="AF182"/>
    </row>
    <row r="183" spans="1:32" hidden="1" x14ac:dyDescent="0.2">
      <c r="A183" s="1">
        <v>186</v>
      </c>
      <c r="B183" s="1"/>
      <c r="C183" s="2" t="s">
        <v>145</v>
      </c>
      <c r="D183" s="2" t="str">
        <f>IF(COUNTIF($AG$3:$AG$20,C183)&gt;0,$AG$2,
 IF(COUNTIF($AH$3:$AH$20,C183)&gt;0,$AH$2,
 IF(COUNTIF($AI$3:$AI$20,C183)&gt;0,$AI$2,
 IF(COUNTIF($AJ$3:$AJ$20,C183)&gt;0,$AJ$2,
 IF(COUNTIF($AK$3:$AK$20,C183)&gt;0,$AK$2,
 IF(COUNTIF($AL$3:$AL$20,C183)&gt;0,$AL$2,
 IF(COUNTIF($AM$3:$AM$20,C183)&gt;0,$AM$2,"Not Found")))))))</f>
        <v>Not Found</v>
      </c>
      <c r="E183" s="2" t="s">
        <v>10</v>
      </c>
      <c r="F183" s="2" t="s">
        <v>11</v>
      </c>
      <c r="G183" s="2">
        <v>149</v>
      </c>
      <c r="H183" s="2">
        <v>1059</v>
      </c>
      <c r="I183" s="2">
        <v>124</v>
      </c>
      <c r="J183" s="2">
        <v>-410</v>
      </c>
      <c r="K183" s="4">
        <v>0.65800000000000003</v>
      </c>
      <c r="L183" s="4">
        <v>0.36299999999999999</v>
      </c>
      <c r="M183" s="2">
        <v>105.4</v>
      </c>
      <c r="N183" s="2">
        <v>100.1</v>
      </c>
      <c r="O183" s="2">
        <v>95.2</v>
      </c>
      <c r="P183" s="2">
        <v>105</v>
      </c>
      <c r="Q183" s="4">
        <v>0.54800000000000004</v>
      </c>
      <c r="R183" s="4">
        <v>0.53400000000000003</v>
      </c>
      <c r="S183" s="4">
        <v>0.50900000000000001</v>
      </c>
      <c r="T183" s="4">
        <v>0.55300000000000005</v>
      </c>
      <c r="U183" s="19">
        <f>Table2[[#This Row],[NET PF]]/Table2[[#This Row],[HOME GAMES]]</f>
        <v>-2.2953020134228188</v>
      </c>
      <c r="V183" s="28">
        <f>393/Table2[[#This Row],[AWAY GAMES]]</f>
        <v>3.1693548387096775</v>
      </c>
      <c r="W183" s="4">
        <v>0.69799999999999995</v>
      </c>
      <c r="X183" s="4">
        <v>0.74399999999999999</v>
      </c>
      <c r="Y183" s="2">
        <v>-342</v>
      </c>
      <c r="Z183" s="2">
        <v>308</v>
      </c>
      <c r="AA183" s="8">
        <f>Table2[[#This Row],[HOME MARGIN]]/Table2[[#This Row],[HOME GAMES]]</f>
        <v>7.1073825503355703</v>
      </c>
      <c r="AB183" s="8">
        <f>Table2[[#This Row],[AWAY MARGIN]]/Table2[[#This Row],[AWAY GAMES]]</f>
        <v>-3.306451612903226</v>
      </c>
      <c r="AC183" s="8">
        <f>Table2[[#This Row],[HOME MARGIN/GAME]]-Table2[[#This Row],[AWAY MARGIN/GAME]]</f>
        <v>10.413834163238796</v>
      </c>
      <c r="AD183" s="23">
        <f>Table2[[#This Row],[HOME W/L%]]-Table2[[#This Row],[AWAY W/L%]]</f>
        <v>0.29500000000000004</v>
      </c>
      <c r="AE183" s="22"/>
      <c r="AF183"/>
    </row>
    <row r="184" spans="1:32" hidden="1" x14ac:dyDescent="0.2">
      <c r="A184" s="1">
        <v>283</v>
      </c>
      <c r="B184" s="1"/>
      <c r="C184" s="2" t="s">
        <v>355</v>
      </c>
      <c r="D184" s="2" t="str">
        <f>IF(COUNTIF($AG$3:$AG$20,C184)&gt;0,$AG$2,
 IF(COUNTIF($AH$3:$AH$20,C184)&gt;0,$AH$2,
 IF(COUNTIF($AI$3:$AI$20,C184)&gt;0,$AI$2,
 IF(COUNTIF($AJ$3:$AJ$20,C184)&gt;0,$AJ$2,
 IF(COUNTIF($AK$3:$AK$20,C184)&gt;0,$AK$2,
 IF(COUNTIF($AL$3:$AL$20,C184)&gt;0,$AL$2,
 IF(COUNTIF($AM$3:$AM$20,C184)&gt;0,$AM$2,"Not Found")))))))</f>
        <v>Not Found</v>
      </c>
      <c r="E184" s="2" t="s">
        <v>10</v>
      </c>
      <c r="F184" s="2" t="s">
        <v>11</v>
      </c>
      <c r="G184" s="2">
        <v>122</v>
      </c>
      <c r="H184" s="2">
        <v>562</v>
      </c>
      <c r="I184" s="2">
        <v>159</v>
      </c>
      <c r="J184" s="2">
        <v>-790</v>
      </c>
      <c r="K184" s="4">
        <v>0.70499999999999996</v>
      </c>
      <c r="L184" s="4">
        <v>0.40300000000000002</v>
      </c>
      <c r="M184" s="2">
        <v>103.8</v>
      </c>
      <c r="N184" s="2">
        <v>96.7</v>
      </c>
      <c r="O184" s="2">
        <v>97.4</v>
      </c>
      <c r="P184" s="2">
        <v>103.6</v>
      </c>
      <c r="Q184" s="4">
        <v>0.53600000000000003</v>
      </c>
      <c r="R184" s="4">
        <v>0.51400000000000001</v>
      </c>
      <c r="S184" s="4">
        <v>0.51700000000000002</v>
      </c>
      <c r="T184" s="4">
        <v>0.54500000000000004</v>
      </c>
      <c r="U184" s="19">
        <f>Table2[[#This Row],[NET PF]]/Table2[[#This Row],[HOME GAMES]]</f>
        <v>-0.80327868852459017</v>
      </c>
      <c r="V184" s="28">
        <f>393/Table2[[#This Row],[AWAY GAMES]]</f>
        <v>2.4716981132075473</v>
      </c>
      <c r="W184" s="4">
        <v>0.71099999999999997</v>
      </c>
      <c r="X184" s="4">
        <v>0.70899999999999996</v>
      </c>
      <c r="Y184" s="2">
        <v>-98</v>
      </c>
      <c r="Z184" s="2">
        <v>246</v>
      </c>
      <c r="AA184" s="8">
        <f>Table2[[#This Row],[HOME MARGIN]]/Table2[[#This Row],[HOME GAMES]]</f>
        <v>4.6065573770491799</v>
      </c>
      <c r="AB184" s="8">
        <f>Table2[[#This Row],[AWAY MARGIN]]/Table2[[#This Row],[AWAY GAMES]]</f>
        <v>-4.9685534591194971</v>
      </c>
      <c r="AC184" s="8">
        <f>Table2[[#This Row],[HOME MARGIN/GAME]]-Table2[[#This Row],[AWAY MARGIN/GAME]]</f>
        <v>9.5751108361686761</v>
      </c>
      <c r="AD184" s="23">
        <f>Table2[[#This Row],[HOME W/L%]]-Table2[[#This Row],[AWAY W/L%]]</f>
        <v>0.30199999999999994</v>
      </c>
      <c r="AE184" s="22"/>
      <c r="AF184"/>
    </row>
    <row r="185" spans="1:32" hidden="1" x14ac:dyDescent="0.2">
      <c r="A185" s="1">
        <v>69</v>
      </c>
      <c r="B185" s="1"/>
      <c r="C185" s="2" t="s">
        <v>122</v>
      </c>
      <c r="D185" s="2" t="str">
        <f>IF(COUNTIF($AG$3:$AG$20,C185)&gt;0,$AG$2,
 IF(COUNTIF($AH$3:$AH$20,C185)&gt;0,$AH$2,
 IF(COUNTIF($AI$3:$AI$20,C185)&gt;0,$AI$2,
 IF(COUNTIF($AJ$3:$AJ$20,C185)&gt;0,$AJ$2,
 IF(COUNTIF($AK$3:$AK$20,C185)&gt;0,$AK$2,
 IF(COUNTIF($AL$3:$AL$20,C185)&gt;0,$AL$2,
 IF(COUNTIF($AM$3:$AM$20,C185)&gt;0,$AM$2,"Not Found")))))))</f>
        <v>Not Found</v>
      </c>
      <c r="E185" s="2" t="s">
        <v>10</v>
      </c>
      <c r="F185" s="2" t="s">
        <v>11</v>
      </c>
      <c r="G185" s="2">
        <v>144</v>
      </c>
      <c r="H185" s="2">
        <v>1752</v>
      </c>
      <c r="I185" s="2">
        <v>146</v>
      </c>
      <c r="J185" s="2">
        <v>-346</v>
      </c>
      <c r="K185" s="4">
        <v>0.81299999999999994</v>
      </c>
      <c r="L185" s="4">
        <v>0.45900000000000002</v>
      </c>
      <c r="M185" s="2">
        <v>111.1</v>
      </c>
      <c r="N185" s="2">
        <v>101.7</v>
      </c>
      <c r="O185" s="2">
        <v>93.6</v>
      </c>
      <c r="P185" s="2">
        <v>105.1</v>
      </c>
      <c r="Q185" s="4">
        <v>0.58499999999999996</v>
      </c>
      <c r="R185" s="4">
        <v>0.54800000000000004</v>
      </c>
      <c r="S185" s="4">
        <v>0.51</v>
      </c>
      <c r="T185" s="4">
        <v>0.55900000000000005</v>
      </c>
      <c r="U185" s="19">
        <f>Table2[[#This Row],[NET PF]]/Table2[[#This Row],[HOME GAMES]]</f>
        <v>-0.375</v>
      </c>
      <c r="V185" s="28">
        <f>393/Table2[[#This Row],[AWAY GAMES]]</f>
        <v>2.6917808219178081</v>
      </c>
      <c r="W185" s="4">
        <v>0.72699999999999998</v>
      </c>
      <c r="X185" s="4">
        <v>0.71499999999999997</v>
      </c>
      <c r="Y185" s="2">
        <v>-54</v>
      </c>
      <c r="Z185" s="2">
        <v>456</v>
      </c>
      <c r="AA185" s="8">
        <f>Table2[[#This Row],[HOME MARGIN]]/Table2[[#This Row],[HOME GAMES]]</f>
        <v>12.166666666666666</v>
      </c>
      <c r="AB185" s="8">
        <f>Table2[[#This Row],[AWAY MARGIN]]/Table2[[#This Row],[AWAY GAMES]]</f>
        <v>-2.3698630136986303</v>
      </c>
      <c r="AC185" s="8">
        <f>Table2[[#This Row],[HOME MARGIN/GAME]]-Table2[[#This Row],[AWAY MARGIN/GAME]]</f>
        <v>14.536529680365296</v>
      </c>
      <c r="AD185" s="23">
        <f>Table2[[#This Row],[HOME W/L%]]-Table2[[#This Row],[AWAY W/L%]]</f>
        <v>0.35399999999999993</v>
      </c>
      <c r="AE185" s="22"/>
      <c r="AF185"/>
    </row>
    <row r="186" spans="1:32" hidden="1" x14ac:dyDescent="0.2">
      <c r="A186" s="1">
        <v>178</v>
      </c>
      <c r="B186" s="1"/>
      <c r="C186" s="2" t="s">
        <v>214</v>
      </c>
      <c r="D186" s="2" t="str">
        <f>IF(COUNTIF($AG$3:$AG$20,C186)&gt;0,$AG$2,
 IF(COUNTIF($AH$3:$AH$20,C186)&gt;0,$AH$2,
 IF(COUNTIF($AI$3:$AI$20,C186)&gt;0,$AI$2,
 IF(COUNTIF($AJ$3:$AJ$20,C186)&gt;0,$AJ$2,
 IF(COUNTIF($AK$3:$AK$20,C186)&gt;0,$AK$2,
 IF(COUNTIF($AL$3:$AL$20,C186)&gt;0,$AL$2,
 IF(COUNTIF($AM$3:$AM$20,C186)&gt;0,$AM$2,"Not Found")))))))</f>
        <v>Not Found</v>
      </c>
      <c r="E186" s="2" t="s">
        <v>10</v>
      </c>
      <c r="F186" s="2" t="s">
        <v>11</v>
      </c>
      <c r="G186" s="2">
        <v>135</v>
      </c>
      <c r="H186" s="2">
        <v>1092</v>
      </c>
      <c r="I186" s="2">
        <v>149</v>
      </c>
      <c r="J186" s="2">
        <v>-646</v>
      </c>
      <c r="K186" s="4">
        <v>0.71899999999999997</v>
      </c>
      <c r="L186" s="4">
        <v>0.34899999999999998</v>
      </c>
      <c r="M186" s="2">
        <v>110.1</v>
      </c>
      <c r="N186" s="2">
        <v>100.3</v>
      </c>
      <c r="O186" s="2">
        <v>98.8</v>
      </c>
      <c r="P186" s="2">
        <v>106.4</v>
      </c>
      <c r="Q186" s="4">
        <v>0.57999999999999996</v>
      </c>
      <c r="R186" s="4">
        <v>0.53600000000000003</v>
      </c>
      <c r="S186" s="4">
        <v>0.53400000000000003</v>
      </c>
      <c r="T186" s="4">
        <v>0.56399999999999995</v>
      </c>
      <c r="U186" s="19">
        <f>Table2[[#This Row],[NET PF]]/Table2[[#This Row],[HOME GAMES]]</f>
        <v>-1.4740740740740741</v>
      </c>
      <c r="V186" s="28">
        <f>393/Table2[[#This Row],[AWAY GAMES]]</f>
        <v>2.6375838926174495</v>
      </c>
      <c r="W186" s="4">
        <v>0.71</v>
      </c>
      <c r="X186" s="4">
        <v>0.72599999999999998</v>
      </c>
      <c r="Y186" s="2">
        <v>-199</v>
      </c>
      <c r="Z186" s="2">
        <v>68</v>
      </c>
      <c r="AA186" s="8">
        <f>Table2[[#This Row],[HOME MARGIN]]/Table2[[#This Row],[HOME GAMES]]</f>
        <v>8.0888888888888886</v>
      </c>
      <c r="AB186" s="8">
        <f>Table2[[#This Row],[AWAY MARGIN]]/Table2[[#This Row],[AWAY GAMES]]</f>
        <v>-4.3355704697986575</v>
      </c>
      <c r="AC186" s="8">
        <f>Table2[[#This Row],[HOME MARGIN/GAME]]-Table2[[#This Row],[AWAY MARGIN/GAME]]</f>
        <v>12.424459358687546</v>
      </c>
      <c r="AD186" s="23">
        <f>Table2[[#This Row],[HOME W/L%]]-Table2[[#This Row],[AWAY W/L%]]</f>
        <v>0.37</v>
      </c>
      <c r="AE186" s="22"/>
      <c r="AF186"/>
    </row>
    <row r="187" spans="1:32" hidden="1" x14ac:dyDescent="0.2">
      <c r="A187" s="1">
        <v>96</v>
      </c>
      <c r="B187" s="1"/>
      <c r="C187" s="2" t="s">
        <v>351</v>
      </c>
      <c r="D187" s="2" t="str">
        <f>IF(COUNTIF($AG$3:$AG$20,C187)&gt;0,$AG$2,
 IF(COUNTIF($AH$3:$AH$20,C187)&gt;0,$AH$2,
 IF(COUNTIF($AI$3:$AI$20,C187)&gt;0,$AI$2,
 IF(COUNTIF($AJ$3:$AJ$20,C187)&gt;0,$AJ$2,
 IF(COUNTIF($AK$3:$AK$20,C187)&gt;0,$AK$2,
 IF(COUNTIF($AL$3:$AL$20,C187)&gt;0,$AL$2,
 IF(COUNTIF($AM$3:$AM$20,C187)&gt;0,$AM$2,"Not Found")))))))</f>
        <v>Not Found</v>
      </c>
      <c r="E187" s="2" t="s">
        <v>10</v>
      </c>
      <c r="F187" s="2" t="s">
        <v>11</v>
      </c>
      <c r="G187" s="2">
        <v>142</v>
      </c>
      <c r="H187" s="2">
        <v>1555</v>
      </c>
      <c r="I187" s="2">
        <v>153</v>
      </c>
      <c r="J187" s="2">
        <v>-795</v>
      </c>
      <c r="K187" s="4">
        <v>0.76100000000000001</v>
      </c>
      <c r="L187" s="4">
        <v>0.35899999999999999</v>
      </c>
      <c r="M187" s="2">
        <v>108.9</v>
      </c>
      <c r="N187" s="2">
        <v>97</v>
      </c>
      <c r="O187" s="2">
        <v>93.3</v>
      </c>
      <c r="P187" s="2">
        <v>104.5</v>
      </c>
      <c r="Q187" s="4">
        <v>0.55900000000000005</v>
      </c>
      <c r="R187" s="4">
        <v>0.51400000000000001</v>
      </c>
      <c r="S187" s="4">
        <v>0.501</v>
      </c>
      <c r="T187" s="4">
        <v>0.54900000000000004</v>
      </c>
      <c r="U187" s="19">
        <f>Table2[[#This Row],[NET PF]]/Table2[[#This Row],[HOME GAMES]]</f>
        <v>-1.9154929577464788</v>
      </c>
      <c r="V187" s="28">
        <f>393/Table2[[#This Row],[AWAY GAMES]]</f>
        <v>2.5686274509803924</v>
      </c>
      <c r="W187" s="4">
        <v>0.70399999999999996</v>
      </c>
      <c r="X187" s="4">
        <v>0.72</v>
      </c>
      <c r="Y187" s="2">
        <v>-272</v>
      </c>
      <c r="Z187" s="2">
        <v>194</v>
      </c>
      <c r="AA187" s="8">
        <f>Table2[[#This Row],[HOME MARGIN]]/Table2[[#This Row],[HOME GAMES]]</f>
        <v>10.950704225352112</v>
      </c>
      <c r="AB187" s="8">
        <f>Table2[[#This Row],[AWAY MARGIN]]/Table2[[#This Row],[AWAY GAMES]]</f>
        <v>-5.1960784313725492</v>
      </c>
      <c r="AC187" s="8">
        <f>Table2[[#This Row],[HOME MARGIN/GAME]]-Table2[[#This Row],[AWAY MARGIN/GAME]]</f>
        <v>16.14678265672466</v>
      </c>
      <c r="AD187" s="23">
        <f>Table2[[#This Row],[HOME W/L%]]-Table2[[#This Row],[AWAY W/L%]]</f>
        <v>0.40200000000000002</v>
      </c>
      <c r="AE187" s="22"/>
      <c r="AF187"/>
    </row>
    <row r="188" spans="1:32" hidden="1" x14ac:dyDescent="0.2">
      <c r="A188" s="1">
        <v>164</v>
      </c>
      <c r="B188" s="1"/>
      <c r="C188" s="2" t="s">
        <v>260</v>
      </c>
      <c r="D188" s="2" t="str">
        <f>IF(COUNTIF($AG$3:$AG$20,C188)&gt;0,$AG$2,
 IF(COUNTIF($AH$3:$AH$20,C188)&gt;0,$AH$2,
 IF(COUNTIF($AI$3:$AI$20,C188)&gt;0,$AI$2,
 IF(COUNTIF($AJ$3:$AJ$20,C188)&gt;0,$AJ$2,
 IF(COUNTIF($AK$3:$AK$20,C188)&gt;0,$AK$2,
 IF(COUNTIF($AL$3:$AL$20,C188)&gt;0,$AL$2,
 IF(COUNTIF($AM$3:$AM$20,C188)&gt;0,$AM$2,"Not Found")))))))</f>
        <v>Not Found</v>
      </c>
      <c r="E188" s="2" t="s">
        <v>10</v>
      </c>
      <c r="F188" s="2" t="s">
        <v>11</v>
      </c>
      <c r="G188" s="2">
        <v>124</v>
      </c>
      <c r="H188" s="2">
        <v>1193</v>
      </c>
      <c r="I188" s="2">
        <v>145</v>
      </c>
      <c r="J188" s="2">
        <v>-1395</v>
      </c>
      <c r="K188" s="4">
        <v>0.63700000000000001</v>
      </c>
      <c r="L188" s="4">
        <v>0.255</v>
      </c>
      <c r="M188" s="2">
        <v>104.1</v>
      </c>
      <c r="N188" s="2">
        <v>92.2</v>
      </c>
      <c r="O188" s="2">
        <v>91.5</v>
      </c>
      <c r="P188" s="2">
        <v>105.3</v>
      </c>
      <c r="Q188" s="4">
        <v>0.54400000000000004</v>
      </c>
      <c r="R188" s="4">
        <v>0.48699999999999999</v>
      </c>
      <c r="S188" s="4">
        <v>0.50900000000000001</v>
      </c>
      <c r="T188" s="4">
        <v>0.55700000000000005</v>
      </c>
      <c r="U188" s="19">
        <f>Table2[[#This Row],[NET PF]]/Table2[[#This Row],[HOME GAMES]]</f>
        <v>-0.28225806451612906</v>
      </c>
      <c r="V188" s="28">
        <f>393/Table2[[#This Row],[AWAY GAMES]]</f>
        <v>2.7103448275862068</v>
      </c>
      <c r="W188" s="4">
        <v>0.67400000000000004</v>
      </c>
      <c r="X188" s="4">
        <v>0.69499999999999995</v>
      </c>
      <c r="Y188" s="2">
        <v>-35</v>
      </c>
      <c r="Z188" s="2">
        <v>356</v>
      </c>
      <c r="AA188" s="8">
        <f>Table2[[#This Row],[HOME MARGIN]]/Table2[[#This Row],[HOME GAMES]]</f>
        <v>9.620967741935484</v>
      </c>
      <c r="AB188" s="8">
        <f>Table2[[#This Row],[AWAY MARGIN]]/Table2[[#This Row],[AWAY GAMES]]</f>
        <v>-9.6206896551724146</v>
      </c>
      <c r="AC188" s="8">
        <f>Table2[[#This Row],[HOME MARGIN/GAME]]-Table2[[#This Row],[AWAY MARGIN/GAME]]</f>
        <v>19.2416573971079</v>
      </c>
      <c r="AD188" s="23">
        <f>Table2[[#This Row],[HOME W/L%]]-Table2[[#This Row],[AWAY W/L%]]</f>
        <v>0.38200000000000001</v>
      </c>
      <c r="AE188" s="22"/>
      <c r="AF188"/>
    </row>
    <row r="189" spans="1:32" hidden="1" x14ac:dyDescent="0.2">
      <c r="A189" s="1">
        <v>272</v>
      </c>
      <c r="B189" s="1"/>
      <c r="C189" s="2" t="s">
        <v>321</v>
      </c>
      <c r="D189" s="2" t="str">
        <f>IF(COUNTIF($AG$3:$AG$20,C189)&gt;0,$AG$2,
 IF(COUNTIF($AH$3:$AH$20,C189)&gt;0,$AH$2,
 IF(COUNTIF($AI$3:$AI$20,C189)&gt;0,$AI$2,
 IF(COUNTIF($AJ$3:$AJ$20,C189)&gt;0,$AJ$2,
 IF(COUNTIF($AK$3:$AK$20,C189)&gt;0,$AK$2,
 IF(COUNTIF($AL$3:$AL$20,C189)&gt;0,$AL$2,
 IF(COUNTIF($AM$3:$AM$20,C189)&gt;0,$AM$2,"Not Found")))))))</f>
        <v>Not Found</v>
      </c>
      <c r="E189" s="2" t="s">
        <v>10</v>
      </c>
      <c r="F189" s="2" t="s">
        <v>11</v>
      </c>
      <c r="G189" s="2">
        <v>127</v>
      </c>
      <c r="H189" s="2">
        <v>606</v>
      </c>
      <c r="I189" s="2">
        <v>167</v>
      </c>
      <c r="J189" s="2">
        <v>-958</v>
      </c>
      <c r="K189" s="4">
        <v>0.60599999999999998</v>
      </c>
      <c r="L189" s="4">
        <v>0.34100000000000003</v>
      </c>
      <c r="M189" s="2">
        <v>102.9</v>
      </c>
      <c r="N189" s="2">
        <v>95.3</v>
      </c>
      <c r="O189" s="2">
        <v>95.9</v>
      </c>
      <c r="P189" s="2">
        <v>103.5</v>
      </c>
      <c r="Q189" s="4">
        <v>0.54600000000000004</v>
      </c>
      <c r="R189" s="4">
        <v>0.51400000000000001</v>
      </c>
      <c r="S189" s="4">
        <v>0.50600000000000001</v>
      </c>
      <c r="T189" s="4">
        <v>0.54500000000000004</v>
      </c>
      <c r="U189" s="19">
        <f>Table2[[#This Row],[NET PF]]/Table2[[#This Row],[HOME GAMES]]</f>
        <v>-1</v>
      </c>
      <c r="V189" s="28">
        <f>393/Table2[[#This Row],[AWAY GAMES]]</f>
        <v>2.3532934131736525</v>
      </c>
      <c r="W189" s="4">
        <v>0.73699999999999999</v>
      </c>
      <c r="X189" s="4">
        <v>0.71699999999999997</v>
      </c>
      <c r="Y189" s="2">
        <v>-127</v>
      </c>
      <c r="Z189" s="2">
        <v>85</v>
      </c>
      <c r="AA189" s="8">
        <f>Table2[[#This Row],[HOME MARGIN]]/Table2[[#This Row],[HOME GAMES]]</f>
        <v>4.771653543307087</v>
      </c>
      <c r="AB189" s="8">
        <f>Table2[[#This Row],[AWAY MARGIN]]/Table2[[#This Row],[AWAY GAMES]]</f>
        <v>-5.7365269461077846</v>
      </c>
      <c r="AC189" s="8">
        <f>Table2[[#This Row],[HOME MARGIN/GAME]]-Table2[[#This Row],[AWAY MARGIN/GAME]]</f>
        <v>10.508180489414872</v>
      </c>
      <c r="AD189" s="23">
        <f>Table2[[#This Row],[HOME W/L%]]-Table2[[#This Row],[AWAY W/L%]]</f>
        <v>0.26499999999999996</v>
      </c>
      <c r="AE189" s="22"/>
      <c r="AF189"/>
    </row>
    <row r="190" spans="1:32" hidden="1" x14ac:dyDescent="0.2">
      <c r="A190" s="1">
        <v>35</v>
      </c>
      <c r="B190" s="1"/>
      <c r="C190" s="2" t="s">
        <v>41</v>
      </c>
      <c r="D190" s="2" t="str">
        <f>IF(COUNTIF($AG$3:$AG$20,C190)&gt;0,$AG$2,
 IF(COUNTIF($AH$3:$AH$20,C190)&gt;0,$AH$2,
 IF(COUNTIF($AI$3:$AI$20,C190)&gt;0,$AI$2,
 IF(COUNTIF($AJ$3:$AJ$20,C190)&gt;0,$AJ$2,
 IF(COUNTIF($AK$3:$AK$20,C190)&gt;0,$AK$2,
 IF(COUNTIF($AL$3:$AL$20,C190)&gt;0,$AL$2,
 IF(COUNTIF($AM$3:$AM$20,C190)&gt;0,$AM$2,"Not Found")))))))</f>
        <v>Not Found</v>
      </c>
      <c r="E190" s="2" t="s">
        <v>10</v>
      </c>
      <c r="F190" s="2" t="s">
        <v>11</v>
      </c>
      <c r="G190" s="2">
        <v>144</v>
      </c>
      <c r="H190" s="2">
        <v>2074</v>
      </c>
      <c r="I190" s="2">
        <v>129</v>
      </c>
      <c r="J190" s="2">
        <v>112</v>
      </c>
      <c r="K190" s="4">
        <v>0.79200000000000004</v>
      </c>
      <c r="L190" s="4">
        <v>0.47299999999999998</v>
      </c>
      <c r="M190" s="2">
        <v>115</v>
      </c>
      <c r="N190" s="2">
        <v>103.8</v>
      </c>
      <c r="O190" s="2">
        <v>94.4</v>
      </c>
      <c r="P190" s="2">
        <v>102.6</v>
      </c>
      <c r="Q190" s="4">
        <v>0.58499999999999996</v>
      </c>
      <c r="R190" s="4">
        <v>0.54600000000000004</v>
      </c>
      <c r="S190" s="4">
        <v>0.50800000000000001</v>
      </c>
      <c r="T190" s="4">
        <v>0.54700000000000004</v>
      </c>
      <c r="U190" s="19">
        <f>Table2[[#This Row],[NET PF]]/Table2[[#This Row],[HOME GAMES]]</f>
        <v>-2.1180555555555554</v>
      </c>
      <c r="V190" s="28">
        <f>393/Table2[[#This Row],[AWAY GAMES]]</f>
        <v>3.0465116279069768</v>
      </c>
      <c r="W190" s="4">
        <v>0.70599999999999996</v>
      </c>
      <c r="X190" s="4">
        <v>0.72499999999999998</v>
      </c>
      <c r="Y190" s="2">
        <v>-305</v>
      </c>
      <c r="Z190" s="2">
        <v>144</v>
      </c>
      <c r="AA190" s="8">
        <f>Table2[[#This Row],[HOME MARGIN]]/Table2[[#This Row],[HOME GAMES]]</f>
        <v>14.402777777777779</v>
      </c>
      <c r="AB190" s="8">
        <f>Table2[[#This Row],[AWAY MARGIN]]/Table2[[#This Row],[AWAY GAMES]]</f>
        <v>0.86821705426356588</v>
      </c>
      <c r="AC190" s="8">
        <f>Table2[[#This Row],[HOME MARGIN/GAME]]-Table2[[#This Row],[AWAY MARGIN/GAME]]</f>
        <v>13.534560723514213</v>
      </c>
      <c r="AD190" s="23">
        <f>Table2[[#This Row],[HOME W/L%]]-Table2[[#This Row],[AWAY W/L%]]</f>
        <v>0.31900000000000006</v>
      </c>
      <c r="AE190" s="22"/>
      <c r="AF190"/>
    </row>
    <row r="191" spans="1:32" hidden="1" x14ac:dyDescent="0.2">
      <c r="A191" s="1">
        <v>287</v>
      </c>
      <c r="B191" s="1"/>
      <c r="C191" s="2" t="s">
        <v>81</v>
      </c>
      <c r="D191" s="2" t="str">
        <f>IF(COUNTIF($AG$3:$AG$20,C191)&gt;0,$AG$2,
 IF(COUNTIF($AH$3:$AH$20,C191)&gt;0,$AH$2,
 IF(COUNTIF($AI$3:$AI$20,C191)&gt;0,$AI$2,
 IF(COUNTIF($AJ$3:$AJ$20,C191)&gt;0,$AJ$2,
 IF(COUNTIF($AK$3:$AK$20,C191)&gt;0,$AK$2,
 IF(COUNTIF($AL$3:$AL$20,C191)&gt;0,$AL$2,
 IF(COUNTIF($AM$3:$AM$20,C191)&gt;0,$AM$2,"Not Found")))))))</f>
        <v>Not Found</v>
      </c>
      <c r="E191" s="2" t="s">
        <v>10</v>
      </c>
      <c r="F191" s="2" t="s">
        <v>11</v>
      </c>
      <c r="G191" s="2">
        <v>137</v>
      </c>
      <c r="H191" s="2">
        <v>549</v>
      </c>
      <c r="I191" s="2">
        <v>139</v>
      </c>
      <c r="J191" s="2">
        <v>-146</v>
      </c>
      <c r="K191" s="4">
        <v>0.62</v>
      </c>
      <c r="L191" s="4">
        <v>0.46800000000000003</v>
      </c>
      <c r="M191" s="2">
        <v>101.6</v>
      </c>
      <c r="N191" s="2">
        <v>99.1</v>
      </c>
      <c r="O191" s="2">
        <v>95.6</v>
      </c>
      <c r="P191" s="2">
        <v>100.7</v>
      </c>
      <c r="Q191" s="4">
        <v>0.52200000000000002</v>
      </c>
      <c r="R191" s="4">
        <v>0.51400000000000001</v>
      </c>
      <c r="S191" s="4">
        <v>0.52600000000000002</v>
      </c>
      <c r="T191" s="4">
        <v>0.54600000000000004</v>
      </c>
      <c r="U191" s="19">
        <f>Table2[[#This Row],[NET PF]]/Table2[[#This Row],[HOME GAMES]]</f>
        <v>-1.3284671532846715</v>
      </c>
      <c r="V191" s="28">
        <f>393/Table2[[#This Row],[AWAY GAMES]]</f>
        <v>2.8273381294964031</v>
      </c>
      <c r="W191" s="4">
        <v>0.68600000000000005</v>
      </c>
      <c r="X191" s="4">
        <v>0.70499999999999996</v>
      </c>
      <c r="Y191" s="2">
        <v>-182</v>
      </c>
      <c r="Z191" s="2">
        <v>-16</v>
      </c>
      <c r="AA191" s="8">
        <f>Table2[[#This Row],[HOME MARGIN]]/Table2[[#This Row],[HOME GAMES]]</f>
        <v>4.007299270072993</v>
      </c>
      <c r="AB191" s="8">
        <f>Table2[[#This Row],[AWAY MARGIN]]/Table2[[#This Row],[AWAY GAMES]]</f>
        <v>-1.0503597122302157</v>
      </c>
      <c r="AC191" s="8">
        <f>Table2[[#This Row],[HOME MARGIN/GAME]]-Table2[[#This Row],[AWAY MARGIN/GAME]]</f>
        <v>5.0576589823032085</v>
      </c>
      <c r="AD191" s="23">
        <f>Table2[[#This Row],[HOME W/L%]]-Table2[[#This Row],[AWAY W/L%]]</f>
        <v>0.15199999999999997</v>
      </c>
      <c r="AE191" s="22"/>
      <c r="AF191"/>
    </row>
    <row r="192" spans="1:32" x14ac:dyDescent="0.2">
      <c r="A192" s="1">
        <v>104</v>
      </c>
      <c r="B192" s="1">
        <v>49</v>
      </c>
      <c r="C192" s="2" t="s">
        <v>182</v>
      </c>
      <c r="D192" s="2" t="str">
        <f>IF(COUNTIF($AG$3:$AG$20,C192)&gt;0,$AG$2,
 IF(COUNTIF($AH$3:$AH$20,C192)&gt;0,$AH$2,
 IF(COUNTIF($AI$3:$AI$20,C192)&gt;0,$AI$2,
 IF(COUNTIF($AJ$3:$AJ$20,C192)&gt;0,$AJ$2,
 IF(COUNTIF($AK$3:$AK$20,C192)&gt;0,$AK$2,
 IF(COUNTIF($AL$3:$AL$20,C192)&gt;0,$AL$2,
 IF(COUNTIF($AM$3:$AM$20,C192)&gt;0,$AM$2,"Not Found")))))))</f>
        <v>ACC</v>
      </c>
      <c r="E192" s="2" t="s">
        <v>10</v>
      </c>
      <c r="F192" s="2" t="s">
        <v>11</v>
      </c>
      <c r="G192" s="2">
        <v>172</v>
      </c>
      <c r="H192" s="2">
        <v>1494</v>
      </c>
      <c r="I192" s="2">
        <v>104</v>
      </c>
      <c r="J192" s="2">
        <v>-547</v>
      </c>
      <c r="K192" s="4">
        <v>0.69799999999999995</v>
      </c>
      <c r="L192" s="4">
        <v>0.32700000000000001</v>
      </c>
      <c r="M192" s="2">
        <v>109.9</v>
      </c>
      <c r="N192" s="2">
        <v>101.4</v>
      </c>
      <c r="O192" s="2">
        <v>97.7</v>
      </c>
      <c r="P192" s="2">
        <v>108.8</v>
      </c>
      <c r="Q192" s="4">
        <v>0.55100000000000005</v>
      </c>
      <c r="R192" s="4">
        <v>0.51900000000000002</v>
      </c>
      <c r="S192" s="4">
        <v>0.52800000000000002</v>
      </c>
      <c r="T192" s="4">
        <v>0.55900000000000005</v>
      </c>
      <c r="U192" s="19">
        <f>Table2[[#This Row],[NET PF]]/Table2[[#This Row],[HOME GAMES]]</f>
        <v>-1.3953488372093024</v>
      </c>
      <c r="V192" s="28">
        <f>393/Table2[[#This Row],[AWAY GAMES]]</f>
        <v>3.7788461538461537</v>
      </c>
      <c r="W192" s="4">
        <v>0.70299999999999996</v>
      </c>
      <c r="X192" s="4">
        <v>0.73799999999999999</v>
      </c>
      <c r="Y192" s="2">
        <v>-240</v>
      </c>
      <c r="Z192" s="2">
        <v>299</v>
      </c>
      <c r="AA192" s="8">
        <f>Table2[[#This Row],[HOME MARGIN]]/Table2[[#This Row],[HOME GAMES]]</f>
        <v>8.6860465116279073</v>
      </c>
      <c r="AB192" s="8">
        <f>Table2[[#This Row],[AWAY MARGIN]]/Table2[[#This Row],[AWAY GAMES]]</f>
        <v>-5.259615384615385</v>
      </c>
      <c r="AC192" s="8">
        <f>Table2[[#This Row],[HOME MARGIN/GAME]]-Table2[[#This Row],[AWAY MARGIN/GAME]]</f>
        <v>13.945661896243292</v>
      </c>
      <c r="AD192" s="23">
        <f>Table2[[#This Row],[HOME W/L%]]-Table2[[#This Row],[AWAY W/L%]]</f>
        <v>0.37099999999999994</v>
      </c>
      <c r="AE192" s="22"/>
      <c r="AF192"/>
    </row>
    <row r="193" spans="1:32" x14ac:dyDescent="0.2">
      <c r="A193" s="1">
        <v>196</v>
      </c>
      <c r="B193" s="1">
        <v>68</v>
      </c>
      <c r="C193" s="2" t="s">
        <v>315</v>
      </c>
      <c r="D193" s="2" t="str">
        <f>IF(COUNTIF($AG$3:$AG$20,C193)&gt;0,$AG$2,
 IF(COUNTIF($AH$3:$AH$20,C193)&gt;0,$AH$2,
 IF(COUNTIF($AI$3:$AI$20,C193)&gt;0,$AI$2,
 IF(COUNTIF($AJ$3:$AJ$20,C193)&gt;0,$AJ$2,
 IF(COUNTIF($AK$3:$AK$20,C193)&gt;0,$AK$2,
 IF(COUNTIF($AL$3:$AL$20,C193)&gt;0,$AL$2,
 IF(COUNTIF($AM$3:$AM$20,C193)&gt;0,$AM$2,"Not Found")))))))</f>
        <v>Big 10</v>
      </c>
      <c r="E193" s="2" t="s">
        <v>10</v>
      </c>
      <c r="F193" s="2" t="s">
        <v>11</v>
      </c>
      <c r="G193" s="2">
        <v>168</v>
      </c>
      <c r="H193" s="2">
        <v>1001</v>
      </c>
      <c r="I193" s="2">
        <v>114</v>
      </c>
      <c r="J193" s="2">
        <v>-986</v>
      </c>
      <c r="K193" s="4">
        <v>0.61299999999999999</v>
      </c>
      <c r="L193" s="4">
        <v>0.246</v>
      </c>
      <c r="M193" s="2">
        <v>104.2</v>
      </c>
      <c r="N193" s="2">
        <v>96.4</v>
      </c>
      <c r="O193" s="2">
        <v>95.8</v>
      </c>
      <c r="P193" s="2">
        <v>108.5</v>
      </c>
      <c r="Q193" s="4">
        <v>0.53800000000000003</v>
      </c>
      <c r="R193" s="4">
        <v>0.51500000000000001</v>
      </c>
      <c r="S193" s="4">
        <v>0.499</v>
      </c>
      <c r="T193" s="4">
        <v>0.55700000000000005</v>
      </c>
      <c r="U193" s="19">
        <f>Table2[[#This Row],[NET PF]]/Table2[[#This Row],[HOME GAMES]]</f>
        <v>-2.9583333333333335</v>
      </c>
      <c r="V193" s="28">
        <f>393/Table2[[#This Row],[AWAY GAMES]]</f>
        <v>3.4473684210526314</v>
      </c>
      <c r="W193" s="4">
        <v>0.67800000000000005</v>
      </c>
      <c r="X193" s="4">
        <v>0.72099999999999997</v>
      </c>
      <c r="Y193" s="2">
        <v>-497</v>
      </c>
      <c r="Z193" s="2">
        <v>229</v>
      </c>
      <c r="AA193" s="8">
        <f>Table2[[#This Row],[HOME MARGIN]]/Table2[[#This Row],[HOME GAMES]]</f>
        <v>5.958333333333333</v>
      </c>
      <c r="AB193" s="8">
        <f>Table2[[#This Row],[AWAY MARGIN]]/Table2[[#This Row],[AWAY GAMES]]</f>
        <v>-8.6491228070175445</v>
      </c>
      <c r="AC193" s="8">
        <f>Table2[[#This Row],[HOME MARGIN/GAME]]-Table2[[#This Row],[AWAY MARGIN/GAME]]</f>
        <v>14.607456140350877</v>
      </c>
      <c r="AD193" s="23">
        <f>Table2[[#This Row],[HOME W/L%]]-Table2[[#This Row],[AWAY W/L%]]</f>
        <v>0.36699999999999999</v>
      </c>
      <c r="AE193" s="22"/>
      <c r="AF193"/>
    </row>
    <row r="194" spans="1:32" hidden="1" x14ac:dyDescent="0.2">
      <c r="A194" s="1">
        <v>74</v>
      </c>
      <c r="B194" s="1"/>
      <c r="C194" s="2" t="s">
        <v>44</v>
      </c>
      <c r="D194" s="2" t="str">
        <f>IF(COUNTIF($AG$3:$AG$20,C194)&gt;0,$AG$2,
 IF(COUNTIF($AH$3:$AH$20,C194)&gt;0,$AH$2,
 IF(COUNTIF($AI$3:$AI$20,C194)&gt;0,$AI$2,
 IF(COUNTIF($AJ$3:$AJ$20,C194)&gt;0,$AJ$2,
 IF(COUNTIF($AK$3:$AK$20,C194)&gt;0,$AK$2,
 IF(COUNTIF($AL$3:$AL$20,C194)&gt;0,$AL$2,
 IF(COUNTIF($AM$3:$AM$20,C194)&gt;0,$AM$2,"Not Found")))))))</f>
        <v>Not Found</v>
      </c>
      <c r="E194" s="2" t="s">
        <v>10</v>
      </c>
      <c r="F194" s="2" t="s">
        <v>11</v>
      </c>
      <c r="G194" s="2">
        <v>148</v>
      </c>
      <c r="H194" s="2">
        <v>1727</v>
      </c>
      <c r="I194" s="2">
        <v>119</v>
      </c>
      <c r="J194" s="2">
        <v>66</v>
      </c>
      <c r="K194" s="4">
        <v>0.82399999999999995</v>
      </c>
      <c r="L194" s="4">
        <v>0.496</v>
      </c>
      <c r="M194" s="2">
        <v>110.6</v>
      </c>
      <c r="N194" s="2">
        <v>103.3</v>
      </c>
      <c r="O194" s="2">
        <v>94.3</v>
      </c>
      <c r="P194" s="2">
        <v>102.5</v>
      </c>
      <c r="Q194" s="4">
        <v>0.57499999999999996</v>
      </c>
      <c r="R194" s="4">
        <v>0.54200000000000004</v>
      </c>
      <c r="S194" s="4">
        <v>0.504</v>
      </c>
      <c r="T194" s="4">
        <v>0.53900000000000003</v>
      </c>
      <c r="U194" s="19">
        <f>Table2[[#This Row],[NET PF]]/Table2[[#This Row],[HOME GAMES]]</f>
        <v>-3.1486486486486487</v>
      </c>
      <c r="V194" s="28">
        <f>393/Table2[[#This Row],[AWAY GAMES]]</f>
        <v>3.3025210084033612</v>
      </c>
      <c r="W194" s="4">
        <v>0.7</v>
      </c>
      <c r="X194" s="4">
        <v>0.70499999999999996</v>
      </c>
      <c r="Y194" s="2">
        <v>-466</v>
      </c>
      <c r="Z194" s="2">
        <v>98</v>
      </c>
      <c r="AA194" s="8">
        <f>Table2[[#This Row],[HOME MARGIN]]/Table2[[#This Row],[HOME GAMES]]</f>
        <v>11.668918918918919</v>
      </c>
      <c r="AB194" s="8">
        <f>Table2[[#This Row],[AWAY MARGIN]]/Table2[[#This Row],[AWAY GAMES]]</f>
        <v>0.55462184873949583</v>
      </c>
      <c r="AC194" s="8">
        <f>Table2[[#This Row],[HOME MARGIN/GAME]]-Table2[[#This Row],[AWAY MARGIN/GAME]]</f>
        <v>11.114297070179424</v>
      </c>
      <c r="AD194" s="23">
        <f>Table2[[#This Row],[HOME W/L%]]-Table2[[#This Row],[AWAY W/L%]]</f>
        <v>0.32799999999999996</v>
      </c>
      <c r="AE194" s="22"/>
      <c r="AF194"/>
    </row>
    <row r="195" spans="1:32" hidden="1" x14ac:dyDescent="0.2">
      <c r="A195" s="1">
        <v>214</v>
      </c>
      <c r="B195" s="1"/>
      <c r="C195" s="2" t="s">
        <v>316</v>
      </c>
      <c r="D195" s="2" t="str">
        <f>IF(COUNTIF($AG$3:$AG$20,C195)&gt;0,$AG$2,
 IF(COUNTIF($AH$3:$AH$20,C195)&gt;0,$AH$2,
 IF(COUNTIF($AI$3:$AI$20,C195)&gt;0,$AI$2,
 IF(COUNTIF($AJ$3:$AJ$20,C195)&gt;0,$AJ$2,
 IF(COUNTIF($AK$3:$AK$20,C195)&gt;0,$AK$2,
 IF(COUNTIF($AL$3:$AL$20,C195)&gt;0,$AL$2,
 IF(COUNTIF($AM$3:$AM$20,C195)&gt;0,$AM$2,"Not Found")))))))</f>
        <v>Not Found</v>
      </c>
      <c r="E195" s="2" t="s">
        <v>10</v>
      </c>
      <c r="F195" s="2" t="s">
        <v>11</v>
      </c>
      <c r="G195" s="2">
        <v>132</v>
      </c>
      <c r="H195" s="2">
        <v>914</v>
      </c>
      <c r="I195" s="2">
        <v>144</v>
      </c>
      <c r="J195" s="2">
        <v>-985</v>
      </c>
      <c r="K195" s="4">
        <v>0.61399999999999999</v>
      </c>
      <c r="L195" s="4">
        <v>0.33300000000000002</v>
      </c>
      <c r="M195" s="2">
        <v>103.4</v>
      </c>
      <c r="N195" s="2">
        <v>94.5</v>
      </c>
      <c r="O195" s="2">
        <v>93.4</v>
      </c>
      <c r="P195" s="2">
        <v>104.4</v>
      </c>
      <c r="Q195" s="4">
        <v>0.53100000000000003</v>
      </c>
      <c r="R195" s="4">
        <v>0.49399999999999999</v>
      </c>
      <c r="S195" s="4">
        <v>0.504</v>
      </c>
      <c r="T195" s="4">
        <v>0.54400000000000004</v>
      </c>
      <c r="U195" s="19">
        <f>Table2[[#This Row],[NET PF]]/Table2[[#This Row],[HOME GAMES]]</f>
        <v>-1.5151515151515151</v>
      </c>
      <c r="V195" s="28">
        <f>393/Table2[[#This Row],[AWAY GAMES]]</f>
        <v>2.7291666666666665</v>
      </c>
      <c r="W195" s="4">
        <v>0.69799999999999995</v>
      </c>
      <c r="X195" s="4">
        <v>0.7</v>
      </c>
      <c r="Y195" s="2">
        <v>-200</v>
      </c>
      <c r="Z195" s="2">
        <v>108</v>
      </c>
      <c r="AA195" s="8">
        <f>Table2[[#This Row],[HOME MARGIN]]/Table2[[#This Row],[HOME GAMES]]</f>
        <v>6.9242424242424239</v>
      </c>
      <c r="AB195" s="8">
        <f>Table2[[#This Row],[AWAY MARGIN]]/Table2[[#This Row],[AWAY GAMES]]</f>
        <v>-6.8402777777777777</v>
      </c>
      <c r="AC195" s="8">
        <f>Table2[[#This Row],[HOME MARGIN/GAME]]-Table2[[#This Row],[AWAY MARGIN/GAME]]</f>
        <v>13.764520202020201</v>
      </c>
      <c r="AD195" s="23">
        <f>Table2[[#This Row],[HOME W/L%]]-Table2[[#This Row],[AWAY W/L%]]</f>
        <v>0.28099999999999997</v>
      </c>
      <c r="AE195" s="22"/>
      <c r="AF195"/>
    </row>
    <row r="196" spans="1:32" hidden="1" x14ac:dyDescent="0.2">
      <c r="A196" s="1">
        <v>93</v>
      </c>
      <c r="B196" s="1"/>
      <c r="C196" s="2" t="s">
        <v>153</v>
      </c>
      <c r="D196" s="2" t="str">
        <f>IF(COUNTIF($AG$3:$AG$20,C196)&gt;0,$AG$2,
 IF(COUNTIF($AH$3:$AH$20,C196)&gt;0,$AH$2,
 IF(COUNTIF($AI$3:$AI$20,C196)&gt;0,$AI$2,
 IF(COUNTIF($AJ$3:$AJ$20,C196)&gt;0,$AJ$2,
 IF(COUNTIF($AK$3:$AK$20,C196)&gt;0,$AK$2,
 IF(COUNTIF($AL$3:$AL$20,C196)&gt;0,$AL$2,
 IF(COUNTIF($AM$3:$AM$20,C196)&gt;0,$AM$2,"Not Found")))))))</f>
        <v>Not Found</v>
      </c>
      <c r="E196" s="2" t="s">
        <v>10</v>
      </c>
      <c r="F196" s="2" t="s">
        <v>11</v>
      </c>
      <c r="G196" s="2">
        <v>152</v>
      </c>
      <c r="H196" s="2">
        <v>1583</v>
      </c>
      <c r="I196" s="2">
        <v>115</v>
      </c>
      <c r="J196" s="2">
        <v>-448</v>
      </c>
      <c r="K196" s="4">
        <v>0.75700000000000001</v>
      </c>
      <c r="L196" s="4">
        <v>0.36499999999999999</v>
      </c>
      <c r="M196" s="2">
        <v>109.9</v>
      </c>
      <c r="N196" s="2">
        <v>100.4</v>
      </c>
      <c r="O196" s="2">
        <v>95.8</v>
      </c>
      <c r="P196" s="2">
        <v>105.7</v>
      </c>
      <c r="Q196" s="4">
        <v>0.57099999999999995</v>
      </c>
      <c r="R196" s="4">
        <v>0.53400000000000003</v>
      </c>
      <c r="S196" s="4">
        <v>0.51900000000000002</v>
      </c>
      <c r="T196" s="4">
        <v>0.55900000000000005</v>
      </c>
      <c r="U196" s="19">
        <f>Table2[[#This Row],[NET PF]]/Table2[[#This Row],[HOME GAMES]]</f>
        <v>-2.9671052631578947</v>
      </c>
      <c r="V196" s="28">
        <f>393/Table2[[#This Row],[AWAY GAMES]]</f>
        <v>3.4173913043478259</v>
      </c>
      <c r="W196" s="4">
        <v>0.68100000000000005</v>
      </c>
      <c r="X196" s="4">
        <v>0.70499999999999996</v>
      </c>
      <c r="Y196" s="2">
        <v>-451</v>
      </c>
      <c r="Z196" s="2">
        <v>121</v>
      </c>
      <c r="AA196" s="8">
        <f>Table2[[#This Row],[HOME MARGIN]]/Table2[[#This Row],[HOME GAMES]]</f>
        <v>10.414473684210526</v>
      </c>
      <c r="AB196" s="8">
        <f>Table2[[#This Row],[AWAY MARGIN]]/Table2[[#This Row],[AWAY GAMES]]</f>
        <v>-3.8956521739130436</v>
      </c>
      <c r="AC196" s="8">
        <f>Table2[[#This Row],[HOME MARGIN/GAME]]-Table2[[#This Row],[AWAY MARGIN/GAME]]</f>
        <v>14.31012585812357</v>
      </c>
      <c r="AD196" s="23">
        <f>Table2[[#This Row],[HOME W/L%]]-Table2[[#This Row],[AWAY W/L%]]</f>
        <v>0.39200000000000002</v>
      </c>
      <c r="AE196" s="22"/>
      <c r="AF196"/>
    </row>
    <row r="197" spans="1:32" hidden="1" x14ac:dyDescent="0.2">
      <c r="A197" s="1">
        <v>30</v>
      </c>
      <c r="B197" s="1"/>
      <c r="C197" s="2" t="s">
        <v>45</v>
      </c>
      <c r="D197" s="2" t="str">
        <f>IF(COUNTIF($AG$3:$AG$20,C197)&gt;0,$AG$2,
 IF(COUNTIF($AH$3:$AH$20,C197)&gt;0,$AH$2,
 IF(COUNTIF($AI$3:$AI$20,C197)&gt;0,$AI$2,
 IF(COUNTIF($AJ$3:$AJ$20,C197)&gt;0,$AJ$2,
 IF(COUNTIF($AK$3:$AK$20,C197)&gt;0,$AK$2,
 IF(COUNTIF($AL$3:$AL$20,C197)&gt;0,$AL$2,
 IF(COUNTIF($AM$3:$AM$20,C197)&gt;0,$AM$2,"Not Found")))))))</f>
        <v>Not Found</v>
      </c>
      <c r="E197" s="2" t="s">
        <v>10</v>
      </c>
      <c r="F197" s="2" t="s">
        <v>11</v>
      </c>
      <c r="G197" s="2">
        <v>142</v>
      </c>
      <c r="H197" s="2">
        <v>2082</v>
      </c>
      <c r="I197" s="2">
        <v>120</v>
      </c>
      <c r="J197" s="2">
        <v>53</v>
      </c>
      <c r="K197" s="4">
        <v>0.83799999999999997</v>
      </c>
      <c r="L197" s="4">
        <v>0.55000000000000004</v>
      </c>
      <c r="M197" s="2">
        <v>110.8</v>
      </c>
      <c r="N197" s="2">
        <v>100.6</v>
      </c>
      <c r="O197" s="2">
        <v>89.9</v>
      </c>
      <c r="P197" s="2">
        <v>99.9</v>
      </c>
      <c r="Q197" s="4">
        <v>0.55900000000000005</v>
      </c>
      <c r="R197" s="4">
        <v>0.52600000000000002</v>
      </c>
      <c r="S197" s="4">
        <v>0.48499999999999999</v>
      </c>
      <c r="T197" s="4">
        <v>0.52700000000000002</v>
      </c>
      <c r="U197" s="19">
        <f>Table2[[#This Row],[NET PF]]/Table2[[#This Row],[HOME GAMES]]</f>
        <v>-2.640845070422535</v>
      </c>
      <c r="V197" s="28">
        <f>393/Table2[[#This Row],[AWAY GAMES]]</f>
        <v>3.2749999999999999</v>
      </c>
      <c r="W197" s="4">
        <v>0.68799999999999994</v>
      </c>
      <c r="X197" s="4">
        <v>0.70299999999999996</v>
      </c>
      <c r="Y197" s="2">
        <v>-375</v>
      </c>
      <c r="Z197" s="2">
        <v>39</v>
      </c>
      <c r="AA197" s="8">
        <f>Table2[[#This Row],[HOME MARGIN]]/Table2[[#This Row],[HOME GAMES]]</f>
        <v>14.661971830985916</v>
      </c>
      <c r="AB197" s="8">
        <f>Table2[[#This Row],[AWAY MARGIN]]/Table2[[#This Row],[AWAY GAMES]]</f>
        <v>0.44166666666666665</v>
      </c>
      <c r="AC197" s="8">
        <f>Table2[[#This Row],[HOME MARGIN/GAME]]-Table2[[#This Row],[AWAY MARGIN/GAME]]</f>
        <v>14.22030516431925</v>
      </c>
      <c r="AD197" s="23">
        <f>Table2[[#This Row],[HOME W/L%]]-Table2[[#This Row],[AWAY W/L%]]</f>
        <v>0.28799999999999992</v>
      </c>
      <c r="AE197" s="22"/>
      <c r="AF197"/>
    </row>
    <row r="198" spans="1:32" hidden="1" x14ac:dyDescent="0.2">
      <c r="A198" s="1">
        <v>217</v>
      </c>
      <c r="B198" s="1"/>
      <c r="C198" s="2" t="s">
        <v>242</v>
      </c>
      <c r="D198" s="2" t="str">
        <f>IF(COUNTIF($AG$3:$AG$20,C198)&gt;0,$AG$2,
 IF(COUNTIF($AH$3:$AH$20,C198)&gt;0,$AH$2,
 IF(COUNTIF($AI$3:$AI$20,C198)&gt;0,$AI$2,
 IF(COUNTIF($AJ$3:$AJ$20,C198)&gt;0,$AJ$2,
 IF(COUNTIF($AK$3:$AK$20,C198)&gt;0,$AK$2,
 IF(COUNTIF($AL$3:$AL$20,C198)&gt;0,$AL$2,
 IF(COUNTIF($AM$3:$AM$20,C198)&gt;0,$AM$2,"Not Found")))))))</f>
        <v>Not Found</v>
      </c>
      <c r="E198" s="2" t="s">
        <v>10</v>
      </c>
      <c r="F198" s="2" t="s">
        <v>11</v>
      </c>
      <c r="G198" s="2">
        <v>129</v>
      </c>
      <c r="H198" s="2">
        <v>903</v>
      </c>
      <c r="I198" s="2">
        <v>152</v>
      </c>
      <c r="J198" s="2">
        <v>-1635</v>
      </c>
      <c r="K198" s="4">
        <v>0.58899999999999997</v>
      </c>
      <c r="L198" s="4">
        <v>0.24299999999999999</v>
      </c>
      <c r="M198" s="2">
        <v>104.7</v>
      </c>
      <c r="N198" s="2">
        <v>94.4</v>
      </c>
      <c r="O198" s="2">
        <v>95.3</v>
      </c>
      <c r="P198" s="2">
        <v>109.1</v>
      </c>
      <c r="Q198" s="4">
        <v>0.55800000000000005</v>
      </c>
      <c r="R198" s="4">
        <v>0.50800000000000001</v>
      </c>
      <c r="S198" s="4">
        <v>0.52600000000000002</v>
      </c>
      <c r="T198" s="4">
        <v>0.57499999999999996</v>
      </c>
      <c r="U198" s="19">
        <f>Table2[[#This Row],[NET PF]]/Table2[[#This Row],[HOME GAMES]]</f>
        <v>-2.2635658914728682</v>
      </c>
      <c r="V198" s="28">
        <f>393/Table2[[#This Row],[AWAY GAMES]]</f>
        <v>2.5855263157894739</v>
      </c>
      <c r="W198" s="4">
        <v>0.70899999999999996</v>
      </c>
      <c r="X198" s="4">
        <v>0.71499999999999997</v>
      </c>
      <c r="Y198" s="2">
        <v>-292</v>
      </c>
      <c r="Z198" s="2">
        <v>97</v>
      </c>
      <c r="AA198" s="8">
        <f>Table2[[#This Row],[HOME MARGIN]]/Table2[[#This Row],[HOME GAMES]]</f>
        <v>7</v>
      </c>
      <c r="AB198" s="8">
        <f>Table2[[#This Row],[AWAY MARGIN]]/Table2[[#This Row],[AWAY GAMES]]</f>
        <v>-10.756578947368421</v>
      </c>
      <c r="AC198" s="8">
        <f>Table2[[#This Row],[HOME MARGIN/GAME]]-Table2[[#This Row],[AWAY MARGIN/GAME]]</f>
        <v>17.756578947368421</v>
      </c>
      <c r="AD198" s="23">
        <f>Table2[[#This Row],[HOME W/L%]]-Table2[[#This Row],[AWAY W/L%]]</f>
        <v>0.34599999999999997</v>
      </c>
      <c r="AE198" s="22"/>
      <c r="AF198"/>
    </row>
    <row r="199" spans="1:32" hidden="1" x14ac:dyDescent="0.2">
      <c r="A199" s="1">
        <v>335</v>
      </c>
      <c r="B199" s="1"/>
      <c r="C199" s="2" t="s">
        <v>322</v>
      </c>
      <c r="D199" s="2" t="str">
        <f>IF(COUNTIF($AG$3:$AG$20,C199)&gt;0,$AG$2,
 IF(COUNTIF($AH$3:$AH$20,C199)&gt;0,$AH$2,
 IF(COUNTIF($AI$3:$AI$20,C199)&gt;0,$AI$2,
 IF(COUNTIF($AJ$3:$AJ$20,C199)&gt;0,$AJ$2,
 IF(COUNTIF($AK$3:$AK$20,C199)&gt;0,$AK$2,
 IF(COUNTIF($AL$3:$AL$20,C199)&gt;0,$AL$2,
 IF(COUNTIF($AM$3:$AM$20,C199)&gt;0,$AM$2,"Not Found")))))))</f>
        <v>Not Found</v>
      </c>
      <c r="E199" s="2" t="s">
        <v>10</v>
      </c>
      <c r="F199" s="2" t="s">
        <v>11</v>
      </c>
      <c r="G199" s="2">
        <v>127</v>
      </c>
      <c r="H199" s="2">
        <v>240</v>
      </c>
      <c r="I199" s="2">
        <v>152</v>
      </c>
      <c r="J199" s="2">
        <v>-954</v>
      </c>
      <c r="K199" s="4">
        <v>0.53500000000000003</v>
      </c>
      <c r="L199" s="4">
        <v>0.30299999999999999</v>
      </c>
      <c r="M199" s="2">
        <v>106.2</v>
      </c>
      <c r="N199" s="2">
        <v>96.6</v>
      </c>
      <c r="O199" s="2">
        <v>103.5</v>
      </c>
      <c r="P199" s="2">
        <v>105.6</v>
      </c>
      <c r="Q199" s="4">
        <v>0.55700000000000005</v>
      </c>
      <c r="R199" s="4">
        <v>0.51300000000000001</v>
      </c>
      <c r="S199" s="4">
        <v>0.53700000000000003</v>
      </c>
      <c r="T199" s="4">
        <v>0.54800000000000004</v>
      </c>
      <c r="U199" s="19">
        <f>Table2[[#This Row],[NET PF]]/Table2[[#This Row],[HOME GAMES]]</f>
        <v>-1.7874015748031495</v>
      </c>
      <c r="V199" s="28">
        <f>393/Table2[[#This Row],[AWAY GAMES]]</f>
        <v>2.5855263157894739</v>
      </c>
      <c r="W199" s="4">
        <v>0.72</v>
      </c>
      <c r="X199" s="4">
        <v>0.73099999999999998</v>
      </c>
      <c r="Y199" s="2">
        <v>-227</v>
      </c>
      <c r="Z199" s="2">
        <v>-37</v>
      </c>
      <c r="AA199" s="8">
        <f>Table2[[#This Row],[HOME MARGIN]]/Table2[[#This Row],[HOME GAMES]]</f>
        <v>1.889763779527559</v>
      </c>
      <c r="AB199" s="8">
        <f>Table2[[#This Row],[AWAY MARGIN]]/Table2[[#This Row],[AWAY GAMES]]</f>
        <v>-6.2763157894736841</v>
      </c>
      <c r="AC199" s="8">
        <f>Table2[[#This Row],[HOME MARGIN/GAME]]-Table2[[#This Row],[AWAY MARGIN/GAME]]</f>
        <v>8.1660795690012424</v>
      </c>
      <c r="AD199" s="23">
        <f>Table2[[#This Row],[HOME W/L%]]-Table2[[#This Row],[AWAY W/L%]]</f>
        <v>0.23200000000000004</v>
      </c>
      <c r="AE199" s="22"/>
      <c r="AF199"/>
    </row>
    <row r="200" spans="1:32" hidden="1" x14ac:dyDescent="0.2">
      <c r="A200" s="1">
        <v>77</v>
      </c>
      <c r="B200" s="1"/>
      <c r="C200" s="2" t="s">
        <v>293</v>
      </c>
      <c r="D200" s="2" t="str">
        <f>IF(COUNTIF($AG$3:$AG$20,C200)&gt;0,$AG$2,
 IF(COUNTIF($AH$3:$AH$20,C200)&gt;0,$AH$2,
 IF(COUNTIF($AI$3:$AI$20,C200)&gt;0,$AI$2,
 IF(COUNTIF($AJ$3:$AJ$20,C200)&gt;0,$AJ$2,
 IF(COUNTIF($AK$3:$AK$20,C200)&gt;0,$AK$2,
 IF(COUNTIF($AL$3:$AL$20,C200)&gt;0,$AL$2,
 IF(COUNTIF($AM$3:$AM$20,C200)&gt;0,$AM$2,"Not Found")))))))</f>
        <v>Not Found</v>
      </c>
      <c r="E200" s="2" t="s">
        <v>10</v>
      </c>
      <c r="F200" s="2" t="s">
        <v>11</v>
      </c>
      <c r="G200" s="2">
        <v>128</v>
      </c>
      <c r="H200" s="2">
        <v>1713</v>
      </c>
      <c r="I200" s="2">
        <v>157</v>
      </c>
      <c r="J200" s="2">
        <v>-1107</v>
      </c>
      <c r="K200" s="4">
        <v>0.80500000000000005</v>
      </c>
      <c r="L200" s="4">
        <v>0.36899999999999999</v>
      </c>
      <c r="M200" s="2">
        <v>108.7</v>
      </c>
      <c r="N200" s="2">
        <v>96.4</v>
      </c>
      <c r="O200" s="2">
        <v>90.8</v>
      </c>
      <c r="P200" s="2">
        <v>105.9</v>
      </c>
      <c r="Q200" s="4">
        <v>0.56699999999999995</v>
      </c>
      <c r="R200" s="4">
        <v>0.51800000000000002</v>
      </c>
      <c r="S200" s="4">
        <v>0.505</v>
      </c>
      <c r="T200" s="4">
        <v>0.55300000000000005</v>
      </c>
      <c r="U200" s="19">
        <f>Table2[[#This Row],[NET PF]]/Table2[[#This Row],[HOME GAMES]]</f>
        <v>0.296875</v>
      </c>
      <c r="V200" s="28">
        <f>393/Table2[[#This Row],[AWAY GAMES]]</f>
        <v>2.5031847133757963</v>
      </c>
      <c r="W200" s="4">
        <v>0.68700000000000006</v>
      </c>
      <c r="X200" s="4">
        <v>0.70499999999999996</v>
      </c>
      <c r="Y200" s="2">
        <v>38</v>
      </c>
      <c r="Z200" s="2">
        <v>573</v>
      </c>
      <c r="AA200" s="8">
        <f>Table2[[#This Row],[HOME MARGIN]]/Table2[[#This Row],[HOME GAMES]]</f>
        <v>13.3828125</v>
      </c>
      <c r="AB200" s="8">
        <f>Table2[[#This Row],[AWAY MARGIN]]/Table2[[#This Row],[AWAY GAMES]]</f>
        <v>-7.0509554140127388</v>
      </c>
      <c r="AC200" s="8">
        <f>Table2[[#This Row],[HOME MARGIN/GAME]]-Table2[[#This Row],[AWAY MARGIN/GAME]]</f>
        <v>20.433767914012741</v>
      </c>
      <c r="AD200" s="23">
        <f>Table2[[#This Row],[HOME W/L%]]-Table2[[#This Row],[AWAY W/L%]]</f>
        <v>0.43600000000000005</v>
      </c>
      <c r="AE200" s="22"/>
      <c r="AF200"/>
    </row>
    <row r="201" spans="1:32" hidden="1" x14ac:dyDescent="0.2">
      <c r="A201" s="1">
        <v>317</v>
      </c>
      <c r="B201" s="1"/>
      <c r="C201" s="2" t="s">
        <v>290</v>
      </c>
      <c r="D201" s="2" t="str">
        <f>IF(COUNTIF($AG$3:$AG$20,C201)&gt;0,$AG$2,
 IF(COUNTIF($AH$3:$AH$20,C201)&gt;0,$AH$2,
 IF(COUNTIF($AI$3:$AI$20,C201)&gt;0,$AI$2,
 IF(COUNTIF($AJ$3:$AJ$20,C201)&gt;0,$AJ$2,
 IF(COUNTIF($AK$3:$AK$20,C201)&gt;0,$AK$2,
 IF(COUNTIF($AL$3:$AL$20,C201)&gt;0,$AL$2,
 IF(COUNTIF($AM$3:$AM$20,C201)&gt;0,$AM$2,"Not Found")))))))</f>
        <v>Not Found</v>
      </c>
      <c r="E201" s="2" t="s">
        <v>10</v>
      </c>
      <c r="F201" s="2" t="s">
        <v>11</v>
      </c>
      <c r="G201" s="2">
        <v>129</v>
      </c>
      <c r="H201" s="2">
        <v>341</v>
      </c>
      <c r="I201" s="2">
        <v>151</v>
      </c>
      <c r="J201" s="2">
        <v>-1124</v>
      </c>
      <c r="K201" s="4">
        <v>0.504</v>
      </c>
      <c r="L201" s="4">
        <v>0.27800000000000002</v>
      </c>
      <c r="M201" s="2">
        <v>99.7</v>
      </c>
      <c r="N201" s="2">
        <v>96.8</v>
      </c>
      <c r="O201" s="2">
        <v>96</v>
      </c>
      <c r="P201" s="2">
        <v>107.4</v>
      </c>
      <c r="Q201" s="4">
        <v>0.52100000000000002</v>
      </c>
      <c r="R201" s="4">
        <v>0.51200000000000001</v>
      </c>
      <c r="S201" s="4">
        <v>0.51</v>
      </c>
      <c r="T201" s="4">
        <v>0.55800000000000005</v>
      </c>
      <c r="U201" s="19">
        <f>Table2[[#This Row],[NET PF]]/Table2[[#This Row],[HOME GAMES]]</f>
        <v>-0.35658914728682173</v>
      </c>
      <c r="V201" s="28">
        <f>393/Table2[[#This Row],[AWAY GAMES]]</f>
        <v>2.6026490066225167</v>
      </c>
      <c r="W201" s="4">
        <v>0.66400000000000003</v>
      </c>
      <c r="X201" s="4">
        <v>0.70799999999999996</v>
      </c>
      <c r="Y201" s="2">
        <v>-46</v>
      </c>
      <c r="Z201" s="2">
        <v>186</v>
      </c>
      <c r="AA201" s="8">
        <f>Table2[[#This Row],[HOME MARGIN]]/Table2[[#This Row],[HOME GAMES]]</f>
        <v>2.6434108527131781</v>
      </c>
      <c r="AB201" s="8">
        <f>Table2[[#This Row],[AWAY MARGIN]]/Table2[[#This Row],[AWAY GAMES]]</f>
        <v>-7.443708609271523</v>
      </c>
      <c r="AC201" s="8">
        <f>Table2[[#This Row],[HOME MARGIN/GAME]]-Table2[[#This Row],[AWAY MARGIN/GAME]]</f>
        <v>10.087119461984701</v>
      </c>
      <c r="AD201" s="23">
        <f>Table2[[#This Row],[HOME W/L%]]-Table2[[#This Row],[AWAY W/L%]]</f>
        <v>0.22599999999999998</v>
      </c>
      <c r="AE201" s="22"/>
      <c r="AF201"/>
    </row>
    <row r="202" spans="1:32" hidden="1" x14ac:dyDescent="0.2">
      <c r="A202" s="1">
        <v>41</v>
      </c>
      <c r="B202" s="1"/>
      <c r="C202" s="2" t="s">
        <v>194</v>
      </c>
      <c r="D202" s="2" t="str">
        <f>IF(COUNTIF($AG$3:$AG$20,C202)&gt;0,$AG$2,
 IF(COUNTIF($AH$3:$AH$20,C202)&gt;0,$AH$2,
 IF(COUNTIF($AI$3:$AI$20,C202)&gt;0,$AI$2,
 IF(COUNTIF($AJ$3:$AJ$20,C202)&gt;0,$AJ$2,
 IF(COUNTIF($AK$3:$AK$20,C202)&gt;0,$AK$2,
 IF(COUNTIF($AL$3:$AL$20,C202)&gt;0,$AL$2,
 IF(COUNTIF($AM$3:$AM$20,C202)&gt;0,$AM$2,"Not Found")))))))</f>
        <v>Not Found</v>
      </c>
      <c r="E202" s="2" t="s">
        <v>10</v>
      </c>
      <c r="F202" s="2" t="s">
        <v>11</v>
      </c>
      <c r="G202" s="2">
        <v>122</v>
      </c>
      <c r="H202" s="2">
        <v>2022</v>
      </c>
      <c r="I202" s="2">
        <v>146</v>
      </c>
      <c r="J202" s="2">
        <v>-587</v>
      </c>
      <c r="K202" s="4">
        <v>0.82799999999999996</v>
      </c>
      <c r="L202" s="4">
        <v>0.42499999999999999</v>
      </c>
      <c r="M202" s="2">
        <v>110.6</v>
      </c>
      <c r="N202" s="2">
        <v>97.6</v>
      </c>
      <c r="O202" s="2">
        <v>88</v>
      </c>
      <c r="P202" s="2">
        <v>103.3</v>
      </c>
      <c r="Q202" s="4">
        <v>0.57399999999999995</v>
      </c>
      <c r="R202" s="4">
        <v>0.52200000000000002</v>
      </c>
      <c r="S202" s="4">
        <v>0.48199999999999998</v>
      </c>
      <c r="T202" s="4">
        <v>0.54300000000000004</v>
      </c>
      <c r="U202" s="19">
        <f>Table2[[#This Row],[NET PF]]/Table2[[#This Row],[HOME GAMES]]</f>
        <v>-0.68032786885245899</v>
      </c>
      <c r="V202" s="28">
        <f>393/Table2[[#This Row],[AWAY GAMES]]</f>
        <v>2.6917808219178081</v>
      </c>
      <c r="W202" s="4">
        <v>0.68100000000000005</v>
      </c>
      <c r="X202" s="4">
        <v>0.69599999999999995</v>
      </c>
      <c r="Y202" s="2">
        <v>-83</v>
      </c>
      <c r="Z202" s="2">
        <v>348</v>
      </c>
      <c r="AA202" s="8">
        <f>Table2[[#This Row],[HOME MARGIN]]/Table2[[#This Row],[HOME GAMES]]</f>
        <v>16.57377049180328</v>
      </c>
      <c r="AB202" s="8">
        <f>Table2[[#This Row],[AWAY MARGIN]]/Table2[[#This Row],[AWAY GAMES]]</f>
        <v>-4.0205479452054798</v>
      </c>
      <c r="AC202" s="8">
        <f>Table2[[#This Row],[HOME MARGIN/GAME]]-Table2[[#This Row],[AWAY MARGIN/GAME]]</f>
        <v>20.594318437008759</v>
      </c>
      <c r="AD202" s="23">
        <f>Table2[[#This Row],[HOME W/L%]]-Table2[[#This Row],[AWAY W/L%]]</f>
        <v>0.40299999999999997</v>
      </c>
      <c r="AE202" s="22"/>
      <c r="AF202"/>
    </row>
    <row r="203" spans="1:32" hidden="1" x14ac:dyDescent="0.2">
      <c r="A203" s="1">
        <v>194</v>
      </c>
      <c r="B203" s="1"/>
      <c r="C203" s="2" t="s">
        <v>349</v>
      </c>
      <c r="D203" s="2" t="str">
        <f>IF(COUNTIF($AG$3:$AG$20,C203)&gt;0,$AG$2,
 IF(COUNTIF($AH$3:$AH$20,C203)&gt;0,$AH$2,
 IF(COUNTIF($AI$3:$AI$20,C203)&gt;0,$AI$2,
 IF(COUNTIF($AJ$3:$AJ$20,C203)&gt;0,$AJ$2,
 IF(COUNTIF($AK$3:$AK$20,C203)&gt;0,$AK$2,
 IF(COUNTIF($AL$3:$AL$20,C203)&gt;0,$AL$2,
 IF(COUNTIF($AM$3:$AM$20,C203)&gt;0,$AM$2,"Not Found")))))))</f>
        <v>Not Found</v>
      </c>
      <c r="E203" s="2" t="s">
        <v>120</v>
      </c>
      <c r="F203" s="2" t="s">
        <v>11</v>
      </c>
      <c r="G203" s="2">
        <v>92</v>
      </c>
      <c r="H203" s="2">
        <v>1008</v>
      </c>
      <c r="I203" s="2">
        <v>107</v>
      </c>
      <c r="J203" s="2">
        <v>-799</v>
      </c>
      <c r="K203" s="4">
        <v>0.69599999999999995</v>
      </c>
      <c r="L203" s="4">
        <v>0.29899999999999999</v>
      </c>
      <c r="M203" s="2">
        <v>108.4</v>
      </c>
      <c r="N203" s="2">
        <v>96.6</v>
      </c>
      <c r="O203" s="2">
        <v>93.1</v>
      </c>
      <c r="P203" s="2">
        <v>107.1</v>
      </c>
      <c r="Q203" s="4">
        <v>0.54900000000000004</v>
      </c>
      <c r="R203" s="4">
        <v>0.51</v>
      </c>
      <c r="S203" s="4">
        <v>0.50700000000000001</v>
      </c>
      <c r="T203" s="4">
        <v>0.55600000000000005</v>
      </c>
      <c r="U203" s="19">
        <f>Table2[[#This Row],[NET PF]]/Table2[[#This Row],[HOME GAMES]]</f>
        <v>-0.41304347826086957</v>
      </c>
      <c r="V203" s="28">
        <f>393/Table2[[#This Row],[AWAY GAMES]]</f>
        <v>3.6728971962616823</v>
      </c>
      <c r="W203" s="4">
        <v>0.67700000000000005</v>
      </c>
      <c r="X203" s="4">
        <v>0.71699999999999997</v>
      </c>
      <c r="Y203" s="2">
        <v>-38</v>
      </c>
      <c r="Z203" s="2">
        <v>267</v>
      </c>
      <c r="AA203" s="8">
        <f>Table2[[#This Row],[HOME MARGIN]]/Table2[[#This Row],[HOME GAMES]]</f>
        <v>10.956521739130435</v>
      </c>
      <c r="AB203" s="8">
        <f>Table2[[#This Row],[AWAY MARGIN]]/Table2[[#This Row],[AWAY GAMES]]</f>
        <v>-7.4672897196261685</v>
      </c>
      <c r="AC203" s="8">
        <f>Table2[[#This Row],[HOME MARGIN/GAME]]-Table2[[#This Row],[AWAY MARGIN/GAME]]</f>
        <v>18.423811458756603</v>
      </c>
      <c r="AD203" s="23">
        <f>Table2[[#This Row],[HOME W/L%]]-Table2[[#This Row],[AWAY W/L%]]</f>
        <v>0.39699999999999996</v>
      </c>
      <c r="AE203" s="22"/>
      <c r="AF203"/>
    </row>
    <row r="204" spans="1:32" x14ac:dyDescent="0.2">
      <c r="A204" s="1">
        <v>38</v>
      </c>
      <c r="B204" s="1">
        <v>17</v>
      </c>
      <c r="C204" s="2" t="s">
        <v>23</v>
      </c>
      <c r="D204" s="2" t="str">
        <f>IF(COUNTIF($AG$3:$AG$20,C204)&gt;0,$AG$2,
 IF(COUNTIF($AH$3:$AH$20,C204)&gt;0,$AH$2,
 IF(COUNTIF($AI$3:$AI$20,C204)&gt;0,$AI$2,
 IF(COUNTIF($AJ$3:$AJ$20,C204)&gt;0,$AJ$2,
 IF(COUNTIF($AK$3:$AK$20,C204)&gt;0,$AK$2,
 IF(COUNTIF($AL$3:$AL$20,C204)&gt;0,$AL$2,
 IF(COUNTIF($AM$3:$AM$20,C204)&gt;0,$AM$2,"Not Found")))))))</f>
        <v>ACC</v>
      </c>
      <c r="E204" s="2" t="s">
        <v>10</v>
      </c>
      <c r="F204" s="2" t="s">
        <v>11</v>
      </c>
      <c r="G204" s="2">
        <v>151</v>
      </c>
      <c r="H204" s="2">
        <v>2035</v>
      </c>
      <c r="I204" s="2">
        <v>111</v>
      </c>
      <c r="J204" s="2">
        <v>265</v>
      </c>
      <c r="K204" s="4">
        <v>0.84099999999999997</v>
      </c>
      <c r="L204" s="4">
        <v>0.55000000000000004</v>
      </c>
      <c r="M204" s="2">
        <v>113.5</v>
      </c>
      <c r="N204" s="2">
        <v>104.5</v>
      </c>
      <c r="O204" s="2">
        <v>95.2</v>
      </c>
      <c r="P204" s="2">
        <v>101.2</v>
      </c>
      <c r="Q204" s="4">
        <v>0.56100000000000005</v>
      </c>
      <c r="R204" s="4">
        <v>0.52900000000000003</v>
      </c>
      <c r="S204" s="4">
        <v>0.51100000000000001</v>
      </c>
      <c r="T204" s="4">
        <v>0.52500000000000002</v>
      </c>
      <c r="U204" s="19">
        <f>Table2[[#This Row],[NET PF]]/Table2[[#This Row],[HOME GAMES]]</f>
        <v>-3.2582781456953644</v>
      </c>
      <c r="V204" s="28">
        <f>393/Table2[[#This Row],[AWAY GAMES]]</f>
        <v>3.5405405405405403</v>
      </c>
      <c r="W204" s="4">
        <v>0.71499999999999997</v>
      </c>
      <c r="X204" s="4">
        <v>0.72899999999999998</v>
      </c>
      <c r="Y204" s="2">
        <v>-492</v>
      </c>
      <c r="Z204" s="2">
        <v>142</v>
      </c>
      <c r="AA204" s="8">
        <f>Table2[[#This Row],[HOME MARGIN]]/Table2[[#This Row],[HOME GAMES]]</f>
        <v>13.476821192052981</v>
      </c>
      <c r="AB204" s="8">
        <f>Table2[[#This Row],[AWAY MARGIN]]/Table2[[#This Row],[AWAY GAMES]]</f>
        <v>2.3873873873873874</v>
      </c>
      <c r="AC204" s="8">
        <f>Table2[[#This Row],[HOME MARGIN/GAME]]-Table2[[#This Row],[AWAY MARGIN/GAME]]</f>
        <v>11.089433804665592</v>
      </c>
      <c r="AD204" s="23">
        <f>Table2[[#This Row],[HOME W/L%]]-Table2[[#This Row],[AWAY W/L%]]</f>
        <v>0.29099999999999993</v>
      </c>
      <c r="AE204" s="22"/>
      <c r="AF204"/>
    </row>
    <row r="205" spans="1:32" hidden="1" x14ac:dyDescent="0.2">
      <c r="A205" s="1">
        <v>286</v>
      </c>
      <c r="B205" s="1"/>
      <c r="C205" s="2" t="s">
        <v>231</v>
      </c>
      <c r="D205" s="2" t="str">
        <f>IF(COUNTIF($AG$3:$AG$20,C205)&gt;0,$AG$2,
 IF(COUNTIF($AH$3:$AH$20,C205)&gt;0,$AH$2,
 IF(COUNTIF($AI$3:$AI$20,C205)&gt;0,$AI$2,
 IF(COUNTIF($AJ$3:$AJ$20,C205)&gt;0,$AJ$2,
 IF(COUNTIF($AK$3:$AK$20,C205)&gt;0,$AK$2,
 IF(COUNTIF($AL$3:$AL$20,C205)&gt;0,$AL$2,
 IF(COUNTIF($AM$3:$AM$20,C205)&gt;0,$AM$2,"Not Found")))))))</f>
        <v>Not Found</v>
      </c>
      <c r="E205" s="2" t="s">
        <v>10</v>
      </c>
      <c r="F205" s="2" t="s">
        <v>11</v>
      </c>
      <c r="G205" s="2">
        <v>122</v>
      </c>
      <c r="H205" s="2">
        <v>553</v>
      </c>
      <c r="I205" s="2">
        <v>157</v>
      </c>
      <c r="J205" s="2">
        <v>-1796</v>
      </c>
      <c r="K205" s="4">
        <v>0.60699999999999998</v>
      </c>
      <c r="L205" s="4">
        <v>0.217</v>
      </c>
      <c r="M205" s="2">
        <v>100.6</v>
      </c>
      <c r="N205" s="2">
        <v>94</v>
      </c>
      <c r="O205" s="2">
        <v>94.4</v>
      </c>
      <c r="P205" s="2">
        <v>110.1</v>
      </c>
      <c r="Q205" s="4">
        <v>0.52800000000000002</v>
      </c>
      <c r="R205" s="4">
        <v>0.498</v>
      </c>
      <c r="S205" s="4">
        <v>0.504</v>
      </c>
      <c r="T205" s="4">
        <v>0.56399999999999995</v>
      </c>
      <c r="U205" s="19">
        <f>Table2[[#This Row],[NET PF]]/Table2[[#This Row],[HOME GAMES]]</f>
        <v>-1.6557377049180328</v>
      </c>
      <c r="V205" s="28">
        <f>393/Table2[[#This Row],[AWAY GAMES]]</f>
        <v>2.5031847133757963</v>
      </c>
      <c r="W205" s="4">
        <v>0.67700000000000005</v>
      </c>
      <c r="X205" s="4">
        <v>0.7</v>
      </c>
      <c r="Y205" s="2">
        <v>-202</v>
      </c>
      <c r="Z205" s="2">
        <v>326</v>
      </c>
      <c r="AA205" s="8">
        <f>Table2[[#This Row],[HOME MARGIN]]/Table2[[#This Row],[HOME GAMES]]</f>
        <v>4.5327868852459012</v>
      </c>
      <c r="AB205" s="8">
        <f>Table2[[#This Row],[AWAY MARGIN]]/Table2[[#This Row],[AWAY GAMES]]</f>
        <v>-11.439490445859873</v>
      </c>
      <c r="AC205" s="8">
        <f>Table2[[#This Row],[HOME MARGIN/GAME]]-Table2[[#This Row],[AWAY MARGIN/GAME]]</f>
        <v>15.972277331105774</v>
      </c>
      <c r="AD205" s="23">
        <f>Table2[[#This Row],[HOME W/L%]]-Table2[[#This Row],[AWAY W/L%]]</f>
        <v>0.39</v>
      </c>
      <c r="AE205" s="22"/>
      <c r="AF205"/>
    </row>
    <row r="206" spans="1:32" hidden="1" x14ac:dyDescent="0.2">
      <c r="A206" s="1">
        <v>19</v>
      </c>
      <c r="B206" s="1"/>
      <c r="C206" s="2" t="s">
        <v>325</v>
      </c>
      <c r="D206" s="2" t="str">
        <f>IF(COUNTIF($AG$3:$AG$20,C206)&gt;0,$AG$2,
 IF(COUNTIF($AH$3:$AH$20,C206)&gt;0,$AH$2,
 IF(COUNTIF($AI$3:$AI$20,C206)&gt;0,$AI$2,
 IF(COUNTIF($AJ$3:$AJ$20,C206)&gt;0,$AJ$2,
 IF(COUNTIF($AK$3:$AK$20,C206)&gt;0,$AK$2,
 IF(COUNTIF($AL$3:$AL$20,C206)&gt;0,$AL$2,
 IF(COUNTIF($AM$3:$AM$20,C206)&gt;0,$AM$2,"Not Found")))))))</f>
        <v>Not Found</v>
      </c>
      <c r="E206" s="2" t="s">
        <v>10</v>
      </c>
      <c r="F206" s="2" t="s">
        <v>11</v>
      </c>
      <c r="G206" s="2">
        <v>122</v>
      </c>
      <c r="H206" s="2">
        <v>2292</v>
      </c>
      <c r="I206" s="2">
        <v>148</v>
      </c>
      <c r="J206" s="2">
        <v>-933</v>
      </c>
      <c r="K206" s="4">
        <v>0.82</v>
      </c>
      <c r="L206" s="4">
        <v>0.29099999999999998</v>
      </c>
      <c r="M206" s="2">
        <v>113.1</v>
      </c>
      <c r="N206" s="2">
        <v>95.3</v>
      </c>
      <c r="O206" s="2">
        <v>87.1</v>
      </c>
      <c r="P206" s="2">
        <v>104.3</v>
      </c>
      <c r="Q206" s="4">
        <v>0.57599999999999996</v>
      </c>
      <c r="R206" s="4">
        <v>0.51500000000000001</v>
      </c>
      <c r="S206" s="4">
        <v>0.48799999999999999</v>
      </c>
      <c r="T206" s="4">
        <v>0.54900000000000004</v>
      </c>
      <c r="U206" s="19">
        <f>Table2[[#This Row],[NET PF]]/Table2[[#This Row],[HOME GAMES]]</f>
        <v>-0.4098360655737705</v>
      </c>
      <c r="V206" s="28">
        <f>393/Table2[[#This Row],[AWAY GAMES]]</f>
        <v>2.6554054054054053</v>
      </c>
      <c r="W206" s="4">
        <v>0.67</v>
      </c>
      <c r="X206" s="4">
        <v>0.71199999999999997</v>
      </c>
      <c r="Y206" s="2">
        <v>-50</v>
      </c>
      <c r="Z206" s="2">
        <v>423</v>
      </c>
      <c r="AA206" s="8">
        <f>Table2[[#This Row],[HOME MARGIN]]/Table2[[#This Row],[HOME GAMES]]</f>
        <v>18.78688524590164</v>
      </c>
      <c r="AB206" s="8">
        <f>Table2[[#This Row],[AWAY MARGIN]]/Table2[[#This Row],[AWAY GAMES]]</f>
        <v>-6.3040540540540544</v>
      </c>
      <c r="AC206" s="8">
        <f>Table2[[#This Row],[HOME MARGIN/GAME]]-Table2[[#This Row],[AWAY MARGIN/GAME]]</f>
        <v>25.090939299955693</v>
      </c>
      <c r="AD206" s="23">
        <f>Table2[[#This Row],[HOME W/L%]]-Table2[[#This Row],[AWAY W/L%]]</f>
        <v>0.52899999999999991</v>
      </c>
      <c r="AE206" s="22"/>
      <c r="AF206"/>
    </row>
    <row r="207" spans="1:32" hidden="1" x14ac:dyDescent="0.2">
      <c r="A207" s="1">
        <v>231</v>
      </c>
      <c r="B207" s="1"/>
      <c r="C207" s="2" t="s">
        <v>285</v>
      </c>
      <c r="D207" s="2" t="str">
        <f>IF(COUNTIF($AG$3:$AG$20,C207)&gt;0,$AG$2,
 IF(COUNTIF($AH$3:$AH$20,C207)&gt;0,$AH$2,
 IF(COUNTIF($AI$3:$AI$20,C207)&gt;0,$AI$2,
 IF(COUNTIF($AJ$3:$AJ$20,C207)&gt;0,$AJ$2,
 IF(COUNTIF($AK$3:$AK$20,C207)&gt;0,$AK$2,
 IF(COUNTIF($AL$3:$AL$20,C207)&gt;0,$AL$2,
 IF(COUNTIF($AM$3:$AM$20,C207)&gt;0,$AM$2,"Not Found")))))))</f>
        <v>Not Found</v>
      </c>
      <c r="E207" s="2" t="s">
        <v>10</v>
      </c>
      <c r="F207" s="2" t="s">
        <v>11</v>
      </c>
      <c r="G207" s="2">
        <v>132</v>
      </c>
      <c r="H207" s="2">
        <v>819</v>
      </c>
      <c r="I207" s="2">
        <v>145</v>
      </c>
      <c r="J207" s="2">
        <v>-1151</v>
      </c>
      <c r="K207" s="4">
        <v>0.59099999999999997</v>
      </c>
      <c r="L207" s="4">
        <v>0.26200000000000001</v>
      </c>
      <c r="M207" s="2">
        <v>108.3</v>
      </c>
      <c r="N207" s="2">
        <v>99.2</v>
      </c>
      <c r="O207" s="2">
        <v>99.6</v>
      </c>
      <c r="P207" s="2">
        <v>110.2</v>
      </c>
      <c r="Q207" s="4">
        <v>0.56399999999999995</v>
      </c>
      <c r="R207" s="4">
        <v>0.52900000000000003</v>
      </c>
      <c r="S207" s="4">
        <v>0.54</v>
      </c>
      <c r="T207" s="4">
        <v>0.57399999999999995</v>
      </c>
      <c r="U207" s="19">
        <f>Table2[[#This Row],[NET PF]]/Table2[[#This Row],[HOME GAMES]]</f>
        <v>-2.143939393939394</v>
      </c>
      <c r="V207" s="28">
        <f>393/Table2[[#This Row],[AWAY GAMES]]</f>
        <v>2.7103448275862068</v>
      </c>
      <c r="W207" s="4">
        <v>0.71799999999999997</v>
      </c>
      <c r="X207" s="4">
        <v>0.72199999999999998</v>
      </c>
      <c r="Y207" s="2">
        <v>-283</v>
      </c>
      <c r="Z207" s="2">
        <v>92</v>
      </c>
      <c r="AA207" s="8">
        <f>Table2[[#This Row],[HOME MARGIN]]/Table2[[#This Row],[HOME GAMES]]</f>
        <v>6.2045454545454541</v>
      </c>
      <c r="AB207" s="8">
        <f>Table2[[#This Row],[AWAY MARGIN]]/Table2[[#This Row],[AWAY GAMES]]</f>
        <v>-7.9379310344827587</v>
      </c>
      <c r="AC207" s="8">
        <f>Table2[[#This Row],[HOME MARGIN/GAME]]-Table2[[#This Row],[AWAY MARGIN/GAME]]</f>
        <v>14.142476489028212</v>
      </c>
      <c r="AD207" s="23">
        <f>Table2[[#This Row],[HOME W/L%]]-Table2[[#This Row],[AWAY W/L%]]</f>
        <v>0.32899999999999996</v>
      </c>
      <c r="AE207" s="22"/>
      <c r="AF207"/>
    </row>
    <row r="208" spans="1:32" hidden="1" x14ac:dyDescent="0.2">
      <c r="A208" s="1">
        <v>105</v>
      </c>
      <c r="B208" s="1"/>
      <c r="C208" s="2" t="s">
        <v>147</v>
      </c>
      <c r="D208" s="2" t="str">
        <f>IF(COUNTIF($AG$3:$AG$20,C208)&gt;0,$AG$2,
 IF(COUNTIF($AH$3:$AH$20,C208)&gt;0,$AH$2,
 IF(COUNTIF($AI$3:$AI$20,C208)&gt;0,$AI$2,
 IF(COUNTIF($AJ$3:$AJ$20,C208)&gt;0,$AJ$2,
 IF(COUNTIF($AK$3:$AK$20,C208)&gt;0,$AK$2,
 IF(COUNTIF($AL$3:$AL$20,C208)&gt;0,$AL$2,
 IF(COUNTIF($AM$3:$AM$20,C208)&gt;0,$AM$2,"Not Found")))))))</f>
        <v>Not Found</v>
      </c>
      <c r="E208" s="2" t="s">
        <v>10</v>
      </c>
      <c r="F208" s="2" t="s">
        <v>11</v>
      </c>
      <c r="G208" s="2">
        <v>132</v>
      </c>
      <c r="H208" s="2">
        <v>1482</v>
      </c>
      <c r="I208" s="2">
        <v>143</v>
      </c>
      <c r="J208" s="2">
        <v>-424</v>
      </c>
      <c r="K208" s="4">
        <v>0.77300000000000002</v>
      </c>
      <c r="L208" s="4">
        <v>0.42</v>
      </c>
      <c r="M208" s="2">
        <v>114.4</v>
      </c>
      <c r="N208" s="2">
        <v>101</v>
      </c>
      <c r="O208" s="2">
        <v>98.2</v>
      </c>
      <c r="P208" s="2">
        <v>105.3</v>
      </c>
      <c r="Q208" s="4">
        <v>0.59599999999999997</v>
      </c>
      <c r="R208" s="4">
        <v>0.54100000000000004</v>
      </c>
      <c r="S208" s="4">
        <v>0.51500000000000001</v>
      </c>
      <c r="T208" s="4">
        <v>0.54</v>
      </c>
      <c r="U208" s="19">
        <f>Table2[[#This Row],[NET PF]]/Table2[[#This Row],[HOME GAMES]]</f>
        <v>-3.4469696969696968</v>
      </c>
      <c r="V208" s="28">
        <f>393/Table2[[#This Row],[AWAY GAMES]]</f>
        <v>2.7482517482517483</v>
      </c>
      <c r="W208" s="4">
        <v>0.73299999999999998</v>
      </c>
      <c r="X208" s="4">
        <v>0.72299999999999998</v>
      </c>
      <c r="Y208" s="2">
        <v>-455</v>
      </c>
      <c r="Z208" s="2">
        <v>88</v>
      </c>
      <c r="AA208" s="8">
        <f>Table2[[#This Row],[HOME MARGIN]]/Table2[[#This Row],[HOME GAMES]]</f>
        <v>11.227272727272727</v>
      </c>
      <c r="AB208" s="8">
        <f>Table2[[#This Row],[AWAY MARGIN]]/Table2[[#This Row],[AWAY GAMES]]</f>
        <v>-2.965034965034965</v>
      </c>
      <c r="AC208" s="8">
        <f>Table2[[#This Row],[HOME MARGIN/GAME]]-Table2[[#This Row],[AWAY MARGIN/GAME]]</f>
        <v>14.192307692307692</v>
      </c>
      <c r="AD208" s="23">
        <f>Table2[[#This Row],[HOME W/L%]]-Table2[[#This Row],[AWAY W/L%]]</f>
        <v>0.35300000000000004</v>
      </c>
      <c r="AE208" s="22"/>
      <c r="AF208"/>
    </row>
    <row r="209" spans="1:32" hidden="1" x14ac:dyDescent="0.2">
      <c r="A209" s="1">
        <v>115</v>
      </c>
      <c r="B209" s="1"/>
      <c r="C209" s="2" t="s">
        <v>251</v>
      </c>
      <c r="D209" s="2" t="str">
        <f>IF(COUNTIF($AG$3:$AG$20,C209)&gt;0,$AG$2,
 IF(COUNTIF($AH$3:$AH$20,C209)&gt;0,$AH$2,
 IF(COUNTIF($AI$3:$AI$20,C209)&gt;0,$AI$2,
 IF(COUNTIF($AJ$3:$AJ$20,C209)&gt;0,$AJ$2,
 IF(COUNTIF($AK$3:$AK$20,C209)&gt;0,$AK$2,
 IF(COUNTIF($AL$3:$AL$20,C209)&gt;0,$AL$2,
 IF(COUNTIF($AM$3:$AM$20,C209)&gt;0,$AM$2,"Not Found")))))))</f>
        <v>Not Found</v>
      </c>
      <c r="E209" s="2" t="s">
        <v>10</v>
      </c>
      <c r="F209" s="2" t="s">
        <v>11</v>
      </c>
      <c r="G209" s="2">
        <v>128</v>
      </c>
      <c r="H209" s="2">
        <v>1411</v>
      </c>
      <c r="I209" s="2">
        <v>164</v>
      </c>
      <c r="J209" s="2">
        <v>-1493</v>
      </c>
      <c r="K209" s="4">
        <v>0.74199999999999999</v>
      </c>
      <c r="L209" s="4">
        <v>0.28699999999999998</v>
      </c>
      <c r="M209" s="2">
        <v>114.7</v>
      </c>
      <c r="N209" s="2">
        <v>99.7</v>
      </c>
      <c r="O209" s="2">
        <v>99.7</v>
      </c>
      <c r="P209" s="2">
        <v>112.2</v>
      </c>
      <c r="Q209" s="4">
        <v>0.59699999999999998</v>
      </c>
      <c r="R209" s="4">
        <v>0.54100000000000004</v>
      </c>
      <c r="S209" s="4">
        <v>0.50600000000000001</v>
      </c>
      <c r="T209" s="4">
        <v>0.55500000000000005</v>
      </c>
      <c r="U209" s="19">
        <f>Table2[[#This Row],[NET PF]]/Table2[[#This Row],[HOME GAMES]]</f>
        <v>-1.5625</v>
      </c>
      <c r="V209" s="28">
        <f>393/Table2[[#This Row],[AWAY GAMES]]</f>
        <v>2.3963414634146343</v>
      </c>
      <c r="W209" s="4">
        <v>0.71099999999999997</v>
      </c>
      <c r="X209" s="4">
        <v>0.70599999999999996</v>
      </c>
      <c r="Y209" s="2">
        <v>-200</v>
      </c>
      <c r="Z209" s="2">
        <v>260</v>
      </c>
      <c r="AA209" s="8">
        <f>Table2[[#This Row],[HOME MARGIN]]/Table2[[#This Row],[HOME GAMES]]</f>
        <v>11.0234375</v>
      </c>
      <c r="AB209" s="8">
        <f>Table2[[#This Row],[AWAY MARGIN]]/Table2[[#This Row],[AWAY GAMES]]</f>
        <v>-9.1036585365853657</v>
      </c>
      <c r="AC209" s="8">
        <f>Table2[[#This Row],[HOME MARGIN/GAME]]-Table2[[#This Row],[AWAY MARGIN/GAME]]</f>
        <v>20.127096036585364</v>
      </c>
      <c r="AD209" s="23">
        <f>Table2[[#This Row],[HOME W/L%]]-Table2[[#This Row],[AWAY W/L%]]</f>
        <v>0.45500000000000002</v>
      </c>
      <c r="AE209" s="22"/>
      <c r="AF209"/>
    </row>
    <row r="210" spans="1:32" hidden="1" x14ac:dyDescent="0.2">
      <c r="A210" s="1">
        <v>87</v>
      </c>
      <c r="B210" s="1"/>
      <c r="C210" s="2" t="s">
        <v>110</v>
      </c>
      <c r="D210" s="2" t="str">
        <f>IF(COUNTIF($AG$3:$AG$20,C210)&gt;0,$AG$2,
 IF(COUNTIF($AH$3:$AH$20,C210)&gt;0,$AH$2,
 IF(COUNTIF($AI$3:$AI$20,C210)&gt;0,$AI$2,
 IF(COUNTIF($AJ$3:$AJ$20,C210)&gt;0,$AJ$2,
 IF(COUNTIF($AK$3:$AK$20,C210)&gt;0,$AK$2,
 IF(COUNTIF($AL$3:$AL$20,C210)&gt;0,$AL$2,
 IF(COUNTIF($AM$3:$AM$20,C210)&gt;0,$AM$2,"Not Found")))))))</f>
        <v>Not Found</v>
      </c>
      <c r="E210" s="2" t="s">
        <v>10</v>
      </c>
      <c r="F210" s="2" t="s">
        <v>11</v>
      </c>
      <c r="G210" s="2">
        <v>154</v>
      </c>
      <c r="H210" s="2">
        <v>1610</v>
      </c>
      <c r="I210" s="2">
        <v>121</v>
      </c>
      <c r="J210" s="2">
        <v>-296</v>
      </c>
      <c r="K210" s="4">
        <v>0.72099999999999997</v>
      </c>
      <c r="L210" s="4">
        <v>0.45500000000000002</v>
      </c>
      <c r="M210" s="2">
        <v>108.7</v>
      </c>
      <c r="N210" s="2">
        <v>98.5</v>
      </c>
      <c r="O210" s="2">
        <v>93.2</v>
      </c>
      <c r="P210" s="2">
        <v>102.2</v>
      </c>
      <c r="Q210" s="4">
        <v>0.56699999999999995</v>
      </c>
      <c r="R210" s="4">
        <v>0.52600000000000002</v>
      </c>
      <c r="S210" s="4">
        <v>0.505</v>
      </c>
      <c r="T210" s="4">
        <v>0.54</v>
      </c>
      <c r="U210" s="19">
        <f>Table2[[#This Row],[NET PF]]/Table2[[#This Row],[HOME GAMES]]</f>
        <v>-1.8376623376623376</v>
      </c>
      <c r="V210" s="28">
        <f>393/Table2[[#This Row],[AWAY GAMES]]</f>
        <v>3.2479338842975207</v>
      </c>
      <c r="W210" s="4">
        <v>0.70199999999999996</v>
      </c>
      <c r="X210" s="4">
        <v>0.71499999999999997</v>
      </c>
      <c r="Y210" s="2">
        <v>-283</v>
      </c>
      <c r="Z210" s="2">
        <v>299</v>
      </c>
      <c r="AA210" s="8">
        <f>Table2[[#This Row],[HOME MARGIN]]/Table2[[#This Row],[HOME GAMES]]</f>
        <v>10.454545454545455</v>
      </c>
      <c r="AB210" s="8">
        <f>Table2[[#This Row],[AWAY MARGIN]]/Table2[[#This Row],[AWAY GAMES]]</f>
        <v>-2.446280991735537</v>
      </c>
      <c r="AC210" s="8">
        <f>Table2[[#This Row],[HOME MARGIN/GAME]]-Table2[[#This Row],[AWAY MARGIN/GAME]]</f>
        <v>12.900826446280991</v>
      </c>
      <c r="AD210" s="23">
        <f>Table2[[#This Row],[HOME W/L%]]-Table2[[#This Row],[AWAY W/L%]]</f>
        <v>0.26599999999999996</v>
      </c>
      <c r="AE210" s="22"/>
      <c r="AF210"/>
    </row>
    <row r="211" spans="1:32" hidden="1" x14ac:dyDescent="0.2">
      <c r="A211" s="1">
        <v>296</v>
      </c>
      <c r="B211" s="1"/>
      <c r="C211" s="2" t="s">
        <v>152</v>
      </c>
      <c r="D211" s="2" t="str">
        <f>IF(COUNTIF($AG$3:$AG$20,C211)&gt;0,$AG$2,
 IF(COUNTIF($AH$3:$AH$20,C211)&gt;0,$AH$2,
 IF(COUNTIF($AI$3:$AI$20,C211)&gt;0,$AI$2,
 IF(COUNTIF($AJ$3:$AJ$20,C211)&gt;0,$AJ$2,
 IF(COUNTIF($AK$3:$AK$20,C211)&gt;0,$AK$2,
 IF(COUNTIF($AL$3:$AL$20,C211)&gt;0,$AL$2,
 IF(COUNTIF($AM$3:$AM$20,C211)&gt;0,$AM$2,"Not Found")))))))</f>
        <v>Not Found</v>
      </c>
      <c r="E211" s="2" t="s">
        <v>10</v>
      </c>
      <c r="F211" s="2" t="s">
        <v>11</v>
      </c>
      <c r="G211" s="2">
        <v>122</v>
      </c>
      <c r="H211" s="2">
        <v>523</v>
      </c>
      <c r="I211" s="2">
        <v>144</v>
      </c>
      <c r="J211" s="2">
        <v>-446</v>
      </c>
      <c r="K211" s="4">
        <v>0.623</v>
      </c>
      <c r="L211" s="4">
        <v>0.39600000000000002</v>
      </c>
      <c r="M211" s="2">
        <v>106.3</v>
      </c>
      <c r="N211" s="2">
        <v>101.2</v>
      </c>
      <c r="O211" s="2">
        <v>99.9</v>
      </c>
      <c r="P211" s="2">
        <v>105.7</v>
      </c>
      <c r="Q211" s="4">
        <v>0.56499999999999995</v>
      </c>
      <c r="R211" s="4">
        <v>0.55100000000000005</v>
      </c>
      <c r="S211" s="4">
        <v>0.53400000000000003</v>
      </c>
      <c r="T211" s="4">
        <v>0.55400000000000005</v>
      </c>
      <c r="U211" s="19">
        <f>Table2[[#This Row],[NET PF]]/Table2[[#This Row],[HOME GAMES]]</f>
        <v>-1.2295081967213115</v>
      </c>
      <c r="V211" s="28">
        <f>393/Table2[[#This Row],[AWAY GAMES]]</f>
        <v>2.7291666666666665</v>
      </c>
      <c r="W211" s="4">
        <v>0.70199999999999996</v>
      </c>
      <c r="X211" s="4">
        <v>0.72499999999999998</v>
      </c>
      <c r="Y211" s="2">
        <v>-150</v>
      </c>
      <c r="Z211" s="2">
        <v>54</v>
      </c>
      <c r="AA211" s="8">
        <f>Table2[[#This Row],[HOME MARGIN]]/Table2[[#This Row],[HOME GAMES]]</f>
        <v>4.2868852459016393</v>
      </c>
      <c r="AB211" s="8">
        <f>Table2[[#This Row],[AWAY MARGIN]]/Table2[[#This Row],[AWAY GAMES]]</f>
        <v>-3.0972222222222223</v>
      </c>
      <c r="AC211" s="8">
        <f>Table2[[#This Row],[HOME MARGIN/GAME]]-Table2[[#This Row],[AWAY MARGIN/GAME]]</f>
        <v>7.3841074681238617</v>
      </c>
      <c r="AD211" s="23">
        <f>Table2[[#This Row],[HOME W/L%]]-Table2[[#This Row],[AWAY W/L%]]</f>
        <v>0.22699999999999998</v>
      </c>
      <c r="AE211" s="22"/>
      <c r="AF211"/>
    </row>
    <row r="212" spans="1:32" hidden="1" x14ac:dyDescent="0.2">
      <c r="A212" s="1">
        <v>351</v>
      </c>
      <c r="B212" s="1"/>
      <c r="C212" s="2" t="s">
        <v>239</v>
      </c>
      <c r="D212" s="2" t="str">
        <f>IF(COUNTIF($AG$3:$AG$20,C212)&gt;0,$AG$2,
 IF(COUNTIF($AH$3:$AH$20,C212)&gt;0,$AH$2,
 IF(COUNTIF($AI$3:$AI$20,C212)&gt;0,$AI$2,
 IF(COUNTIF($AJ$3:$AJ$20,C212)&gt;0,$AJ$2,
 IF(COUNTIF($AK$3:$AK$20,C212)&gt;0,$AK$2,
 IF(COUNTIF($AL$3:$AL$20,C212)&gt;0,$AL$2,
 IF(COUNTIF($AM$3:$AM$20,C212)&gt;0,$AM$2,"Not Found")))))))</f>
        <v>Not Found</v>
      </c>
      <c r="E212" s="2" t="s">
        <v>10</v>
      </c>
      <c r="F212" s="2" t="s">
        <v>11</v>
      </c>
      <c r="G212" s="2">
        <v>128</v>
      </c>
      <c r="H212" s="2">
        <v>71</v>
      </c>
      <c r="I212" s="2">
        <v>153</v>
      </c>
      <c r="J212" s="2">
        <v>-1674</v>
      </c>
      <c r="K212" s="4">
        <v>0.42199999999999999</v>
      </c>
      <c r="L212" s="4">
        <v>0.26100000000000001</v>
      </c>
      <c r="M212" s="2">
        <v>104.2</v>
      </c>
      <c r="N212" s="2">
        <v>94.9</v>
      </c>
      <c r="O212" s="2">
        <v>103.5</v>
      </c>
      <c r="P212" s="2">
        <v>110.4</v>
      </c>
      <c r="Q212" s="4">
        <v>0.53700000000000003</v>
      </c>
      <c r="R212" s="4">
        <v>0.50700000000000001</v>
      </c>
      <c r="S212" s="4">
        <v>0.55400000000000005</v>
      </c>
      <c r="T212" s="4">
        <v>0.58299999999999996</v>
      </c>
      <c r="U212" s="19">
        <f>Table2[[#This Row],[NET PF]]/Table2[[#This Row],[HOME GAMES]]</f>
        <v>-0.9765625</v>
      </c>
      <c r="V212" s="28">
        <f>393/Table2[[#This Row],[AWAY GAMES]]</f>
        <v>2.5686274509803924</v>
      </c>
      <c r="W212" s="4">
        <v>0.72499999999999998</v>
      </c>
      <c r="X212" s="4">
        <v>0.72399999999999998</v>
      </c>
      <c r="Y212" s="2">
        <v>-125</v>
      </c>
      <c r="Z212" s="2">
        <v>151</v>
      </c>
      <c r="AA212" s="8">
        <f>Table2[[#This Row],[HOME MARGIN]]/Table2[[#This Row],[HOME GAMES]]</f>
        <v>0.5546875</v>
      </c>
      <c r="AB212" s="8">
        <f>Table2[[#This Row],[AWAY MARGIN]]/Table2[[#This Row],[AWAY GAMES]]</f>
        <v>-10.941176470588236</v>
      </c>
      <c r="AC212" s="8">
        <f>Table2[[#This Row],[HOME MARGIN/GAME]]-Table2[[#This Row],[AWAY MARGIN/GAME]]</f>
        <v>11.495863970588236</v>
      </c>
      <c r="AD212" s="23">
        <f>Table2[[#This Row],[HOME W/L%]]-Table2[[#This Row],[AWAY W/L%]]</f>
        <v>0.16099999999999998</v>
      </c>
      <c r="AE212" s="22"/>
      <c r="AF212"/>
    </row>
    <row r="213" spans="1:32" hidden="1" x14ac:dyDescent="0.2">
      <c r="A213" s="1">
        <v>179</v>
      </c>
      <c r="B213" s="1"/>
      <c r="C213" s="2" t="s">
        <v>108</v>
      </c>
      <c r="D213" s="2" t="str">
        <f>IF(COUNTIF($AG$3:$AG$20,C213)&gt;0,$AG$2,
 IF(COUNTIF($AH$3:$AH$20,C213)&gt;0,$AH$2,
 IF(COUNTIF($AI$3:$AI$20,C213)&gt;0,$AI$2,
 IF(COUNTIF($AJ$3:$AJ$20,C213)&gt;0,$AJ$2,
 IF(COUNTIF($AK$3:$AK$20,C213)&gt;0,$AK$2,
 IF(COUNTIF($AL$3:$AL$20,C213)&gt;0,$AL$2,
 IF(COUNTIF($AM$3:$AM$20,C213)&gt;0,$AM$2,"Not Found")))))))</f>
        <v>Not Found</v>
      </c>
      <c r="E213" s="2" t="s">
        <v>10</v>
      </c>
      <c r="F213" s="2" t="s">
        <v>11</v>
      </c>
      <c r="G213" s="2">
        <v>135</v>
      </c>
      <c r="H213" s="2">
        <v>1092</v>
      </c>
      <c r="I213" s="2">
        <v>143</v>
      </c>
      <c r="J213" s="2">
        <v>-286</v>
      </c>
      <c r="K213" s="4">
        <v>0.66700000000000004</v>
      </c>
      <c r="L213" s="4">
        <v>0.44800000000000001</v>
      </c>
      <c r="M213" s="2">
        <v>111.4</v>
      </c>
      <c r="N213" s="2">
        <v>102.5</v>
      </c>
      <c r="O213" s="2">
        <v>100.2</v>
      </c>
      <c r="P213" s="2">
        <v>105.3</v>
      </c>
      <c r="Q213" s="4">
        <v>0.58899999999999997</v>
      </c>
      <c r="R213" s="4">
        <v>0.55100000000000005</v>
      </c>
      <c r="S213" s="4">
        <v>0.53900000000000003</v>
      </c>
      <c r="T213" s="4">
        <v>0.55500000000000005</v>
      </c>
      <c r="U213" s="19">
        <f>Table2[[#This Row],[NET PF]]/Table2[[#This Row],[HOME GAMES]]</f>
        <v>-0.72592592592592597</v>
      </c>
      <c r="V213" s="28">
        <f>393/Table2[[#This Row],[AWAY GAMES]]</f>
        <v>2.7482517482517483</v>
      </c>
      <c r="W213" s="4">
        <v>0.71699999999999997</v>
      </c>
      <c r="X213" s="4">
        <v>0.73599999999999999</v>
      </c>
      <c r="Y213" s="2">
        <v>-98</v>
      </c>
      <c r="Z213" s="2">
        <v>172</v>
      </c>
      <c r="AA213" s="8">
        <f>Table2[[#This Row],[HOME MARGIN]]/Table2[[#This Row],[HOME GAMES]]</f>
        <v>8.0888888888888886</v>
      </c>
      <c r="AB213" s="8">
        <f>Table2[[#This Row],[AWAY MARGIN]]/Table2[[#This Row],[AWAY GAMES]]</f>
        <v>-2</v>
      </c>
      <c r="AC213" s="8">
        <f>Table2[[#This Row],[HOME MARGIN/GAME]]-Table2[[#This Row],[AWAY MARGIN/GAME]]</f>
        <v>10.088888888888889</v>
      </c>
      <c r="AD213" s="23">
        <f>Table2[[#This Row],[HOME W/L%]]-Table2[[#This Row],[AWAY W/L%]]</f>
        <v>0.21900000000000003</v>
      </c>
      <c r="AE213" s="22"/>
      <c r="AF213"/>
    </row>
    <row r="214" spans="1:32" hidden="1" x14ac:dyDescent="0.2">
      <c r="A214" s="1">
        <v>278</v>
      </c>
      <c r="B214" s="1"/>
      <c r="C214" s="2" t="s">
        <v>287</v>
      </c>
      <c r="D214" s="2" t="str">
        <f>IF(COUNTIF($AG$3:$AG$20,C214)&gt;0,$AG$2,
 IF(COUNTIF($AH$3:$AH$20,C214)&gt;0,$AH$2,
 IF(COUNTIF($AI$3:$AI$20,C214)&gt;0,$AI$2,
 IF(COUNTIF($AJ$3:$AJ$20,C214)&gt;0,$AJ$2,
 IF(COUNTIF($AK$3:$AK$20,C214)&gt;0,$AK$2,
 IF(COUNTIF($AL$3:$AL$20,C214)&gt;0,$AL$2,
 IF(COUNTIF($AM$3:$AM$20,C214)&gt;0,$AM$2,"Not Found")))))))</f>
        <v>Not Found</v>
      </c>
      <c r="E214" s="2" t="s">
        <v>10</v>
      </c>
      <c r="F214" s="2" t="s">
        <v>11</v>
      </c>
      <c r="G214" s="2">
        <v>141</v>
      </c>
      <c r="H214" s="2">
        <v>580</v>
      </c>
      <c r="I214" s="2">
        <v>146</v>
      </c>
      <c r="J214" s="2">
        <v>-1140</v>
      </c>
      <c r="K214" s="4">
        <v>0.54600000000000004</v>
      </c>
      <c r="L214" s="4">
        <v>0.28799999999999998</v>
      </c>
      <c r="M214" s="2">
        <v>102.9</v>
      </c>
      <c r="N214" s="2">
        <v>95.6</v>
      </c>
      <c r="O214" s="2">
        <v>97.2</v>
      </c>
      <c r="P214" s="2">
        <v>106.6</v>
      </c>
      <c r="Q214" s="4">
        <v>0.53700000000000003</v>
      </c>
      <c r="R214" s="4">
        <v>0.51</v>
      </c>
      <c r="S214" s="4">
        <v>0.52300000000000002</v>
      </c>
      <c r="T214" s="4">
        <v>0.55500000000000005</v>
      </c>
      <c r="U214" s="19">
        <f>Table2[[#This Row],[NET PF]]/Table2[[#This Row],[HOME GAMES]]</f>
        <v>-0.19858156028368795</v>
      </c>
      <c r="V214" s="28">
        <f>393/Table2[[#This Row],[AWAY GAMES]]</f>
        <v>2.6917808219178081</v>
      </c>
      <c r="W214" s="4">
        <v>0.68400000000000005</v>
      </c>
      <c r="X214" s="4">
        <v>0.70699999999999996</v>
      </c>
      <c r="Y214" s="2">
        <v>-28</v>
      </c>
      <c r="Z214" s="2">
        <v>366</v>
      </c>
      <c r="AA214" s="8">
        <f>Table2[[#This Row],[HOME MARGIN]]/Table2[[#This Row],[HOME GAMES]]</f>
        <v>4.1134751773049647</v>
      </c>
      <c r="AB214" s="8">
        <f>Table2[[#This Row],[AWAY MARGIN]]/Table2[[#This Row],[AWAY GAMES]]</f>
        <v>-7.8082191780821919</v>
      </c>
      <c r="AC214" s="8">
        <f>Table2[[#This Row],[HOME MARGIN/GAME]]-Table2[[#This Row],[AWAY MARGIN/GAME]]</f>
        <v>11.921694355387157</v>
      </c>
      <c r="AD214" s="23">
        <f>Table2[[#This Row],[HOME W/L%]]-Table2[[#This Row],[AWAY W/L%]]</f>
        <v>0.25800000000000006</v>
      </c>
      <c r="AE214" s="22"/>
      <c r="AF214"/>
    </row>
    <row r="215" spans="1:32" hidden="1" x14ac:dyDescent="0.2">
      <c r="A215" s="1">
        <v>148</v>
      </c>
      <c r="B215" s="1"/>
      <c r="C215" s="2" t="s">
        <v>104</v>
      </c>
      <c r="D215" s="2" t="str">
        <f>IF(COUNTIF($AG$3:$AG$20,C215)&gt;0,$AG$2,
 IF(COUNTIF($AH$3:$AH$20,C215)&gt;0,$AH$2,
 IF(COUNTIF($AI$3:$AI$20,C215)&gt;0,$AI$2,
 IF(COUNTIF($AJ$3:$AJ$20,C215)&gt;0,$AJ$2,
 IF(COUNTIF($AK$3:$AK$20,C215)&gt;0,$AK$2,
 IF(COUNTIF($AL$3:$AL$20,C215)&gt;0,$AL$2,
 IF(COUNTIF($AM$3:$AM$20,C215)&gt;0,$AM$2,"Not Found")))))))</f>
        <v>Not Found</v>
      </c>
      <c r="E215" s="2" t="s">
        <v>10</v>
      </c>
      <c r="F215" s="2" t="s">
        <v>11</v>
      </c>
      <c r="G215" s="2">
        <v>145</v>
      </c>
      <c r="H215" s="2">
        <v>1259</v>
      </c>
      <c r="I215" s="2">
        <v>117</v>
      </c>
      <c r="J215" s="2">
        <v>-278</v>
      </c>
      <c r="K215" s="4">
        <v>0.73099999999999998</v>
      </c>
      <c r="L215" s="4">
        <v>0.40200000000000002</v>
      </c>
      <c r="M215" s="2">
        <v>107.9</v>
      </c>
      <c r="N215" s="2">
        <v>100.8</v>
      </c>
      <c r="O215" s="2">
        <v>95.1</v>
      </c>
      <c r="P215" s="2">
        <v>104.4</v>
      </c>
      <c r="Q215" s="4">
        <v>0.57199999999999995</v>
      </c>
      <c r="R215" s="4">
        <v>0.53900000000000003</v>
      </c>
      <c r="S215" s="4">
        <v>0.52</v>
      </c>
      <c r="T215" s="4">
        <v>0.55600000000000005</v>
      </c>
      <c r="U215" s="19">
        <f>Table2[[#This Row],[NET PF]]/Table2[[#This Row],[HOME GAMES]]</f>
        <v>-3.6</v>
      </c>
      <c r="V215" s="28">
        <f>393/Table2[[#This Row],[AWAY GAMES]]</f>
        <v>3.358974358974359</v>
      </c>
      <c r="W215" s="4">
        <v>0.72699999999999998</v>
      </c>
      <c r="X215" s="4">
        <v>0.72399999999999998</v>
      </c>
      <c r="Y215" s="2">
        <v>-522</v>
      </c>
      <c r="Z215" s="2">
        <v>30</v>
      </c>
      <c r="AA215" s="8">
        <f>Table2[[#This Row],[HOME MARGIN]]/Table2[[#This Row],[HOME GAMES]]</f>
        <v>8.6827586206896559</v>
      </c>
      <c r="AB215" s="8">
        <f>Table2[[#This Row],[AWAY MARGIN]]/Table2[[#This Row],[AWAY GAMES]]</f>
        <v>-2.3760683760683761</v>
      </c>
      <c r="AC215" s="8">
        <f>Table2[[#This Row],[HOME MARGIN/GAME]]-Table2[[#This Row],[AWAY MARGIN/GAME]]</f>
        <v>11.058826996758032</v>
      </c>
      <c r="AD215" s="23">
        <f>Table2[[#This Row],[HOME W/L%]]-Table2[[#This Row],[AWAY W/L%]]</f>
        <v>0.32899999999999996</v>
      </c>
      <c r="AE215" s="22"/>
      <c r="AF215"/>
    </row>
    <row r="216" spans="1:32" hidden="1" x14ac:dyDescent="0.2">
      <c r="A216" s="1">
        <v>101</v>
      </c>
      <c r="B216" s="1"/>
      <c r="C216" s="2" t="s">
        <v>98</v>
      </c>
      <c r="D216" s="2" t="str">
        <f>IF(COUNTIF($AG$3:$AG$20,C216)&gt;0,$AG$2,
 IF(COUNTIF($AH$3:$AH$20,C216)&gt;0,$AH$2,
 IF(COUNTIF($AI$3:$AI$20,C216)&gt;0,$AI$2,
 IF(COUNTIF($AJ$3:$AJ$20,C216)&gt;0,$AJ$2,
 IF(COUNTIF($AK$3:$AK$20,C216)&gt;0,$AK$2,
 IF(COUNTIF($AL$3:$AL$20,C216)&gt;0,$AL$2,
 IF(COUNTIF($AM$3:$AM$20,C216)&gt;0,$AM$2,"Not Found")))))))</f>
        <v>Not Found</v>
      </c>
      <c r="E216" s="2" t="s">
        <v>10</v>
      </c>
      <c r="F216" s="2" t="s">
        <v>11</v>
      </c>
      <c r="G216" s="2">
        <v>149</v>
      </c>
      <c r="H216" s="2">
        <v>1517</v>
      </c>
      <c r="I216" s="2">
        <v>139</v>
      </c>
      <c r="J216" s="2">
        <v>-236</v>
      </c>
      <c r="K216" s="4">
        <v>0.75800000000000001</v>
      </c>
      <c r="L216" s="4">
        <v>0.45300000000000001</v>
      </c>
      <c r="M216" s="2">
        <v>109.1</v>
      </c>
      <c r="N216" s="2">
        <v>100.5</v>
      </c>
      <c r="O216" s="2">
        <v>94.6</v>
      </c>
      <c r="P216" s="2">
        <v>102.9</v>
      </c>
      <c r="Q216" s="4">
        <v>0.56299999999999994</v>
      </c>
      <c r="R216" s="4">
        <v>0.52700000000000002</v>
      </c>
      <c r="S216" s="4">
        <v>0.51200000000000001</v>
      </c>
      <c r="T216" s="4">
        <v>0.54</v>
      </c>
      <c r="U216" s="19">
        <f>Table2[[#This Row],[NET PF]]/Table2[[#This Row],[HOME GAMES]]</f>
        <v>-1.3087248322147651</v>
      </c>
      <c r="V216" s="28">
        <f>393/Table2[[#This Row],[AWAY GAMES]]</f>
        <v>2.8273381294964031</v>
      </c>
      <c r="W216" s="4">
        <v>0.68799999999999994</v>
      </c>
      <c r="X216" s="4">
        <v>0.73099999999999998</v>
      </c>
      <c r="Y216" s="2">
        <v>-195</v>
      </c>
      <c r="Z216" s="2">
        <v>223</v>
      </c>
      <c r="AA216" s="8">
        <f>Table2[[#This Row],[HOME MARGIN]]/Table2[[#This Row],[HOME GAMES]]</f>
        <v>10.181208053691275</v>
      </c>
      <c r="AB216" s="8">
        <f>Table2[[#This Row],[AWAY MARGIN]]/Table2[[#This Row],[AWAY GAMES]]</f>
        <v>-1.6978417266187051</v>
      </c>
      <c r="AC216" s="8">
        <f>Table2[[#This Row],[HOME MARGIN/GAME]]-Table2[[#This Row],[AWAY MARGIN/GAME]]</f>
        <v>11.87904978030998</v>
      </c>
      <c r="AD216" s="23">
        <f>Table2[[#This Row],[HOME W/L%]]-Table2[[#This Row],[AWAY W/L%]]</f>
        <v>0.30499999999999999</v>
      </c>
      <c r="AE216" s="22"/>
      <c r="AF216"/>
    </row>
    <row r="217" spans="1:32" x14ac:dyDescent="0.2">
      <c r="A217" s="1">
        <v>125</v>
      </c>
      <c r="B217" s="1">
        <v>52</v>
      </c>
      <c r="C217" s="2" t="s">
        <v>172</v>
      </c>
      <c r="D217" s="2" t="str">
        <f>IF(COUNTIF($AG$3:$AG$20,C217)&gt;0,$AG$2,
 IF(COUNTIF($AH$3:$AH$20,C217)&gt;0,$AH$2,
 IF(COUNTIF($AI$3:$AI$20,C217)&gt;0,$AI$2,
 IF(COUNTIF($AJ$3:$AJ$20,C217)&gt;0,$AJ$2,
 IF(COUNTIF($AK$3:$AK$20,C217)&gt;0,$AK$2,
 IF(COUNTIF($AL$3:$AL$20,C217)&gt;0,$AL$2,
 IF(COUNTIF($AM$3:$AM$20,C217)&gt;0,$AM$2,"Not Found")))))))</f>
        <v>Big 10</v>
      </c>
      <c r="E217" s="2" t="s">
        <v>10</v>
      </c>
      <c r="F217" s="2" t="s">
        <v>11</v>
      </c>
      <c r="G217" s="2">
        <v>168</v>
      </c>
      <c r="H217" s="2">
        <v>1376</v>
      </c>
      <c r="I217" s="2">
        <v>109</v>
      </c>
      <c r="J217" s="2">
        <v>-511</v>
      </c>
      <c r="K217" s="4">
        <v>0.66100000000000003</v>
      </c>
      <c r="L217" s="4">
        <v>0.312</v>
      </c>
      <c r="M217" s="2">
        <v>106.2</v>
      </c>
      <c r="N217" s="2">
        <v>98.4</v>
      </c>
      <c r="O217" s="2">
        <v>94.2</v>
      </c>
      <c r="P217" s="2">
        <v>105.3</v>
      </c>
      <c r="Q217" s="4">
        <v>0.53700000000000003</v>
      </c>
      <c r="R217" s="4">
        <v>0.51600000000000001</v>
      </c>
      <c r="S217" s="4">
        <v>0.50700000000000001</v>
      </c>
      <c r="T217" s="4">
        <v>0.55000000000000004</v>
      </c>
      <c r="U217" s="19">
        <f>Table2[[#This Row],[NET PF]]/Table2[[#This Row],[HOME GAMES]]</f>
        <v>-0.41666666666666669</v>
      </c>
      <c r="V217" s="28">
        <f>393/Table2[[#This Row],[AWAY GAMES]]</f>
        <v>3.6055045871559632</v>
      </c>
      <c r="W217" s="4">
        <v>0.70199999999999996</v>
      </c>
      <c r="X217" s="4">
        <v>0.72</v>
      </c>
      <c r="Y217" s="2">
        <v>-70</v>
      </c>
      <c r="Z217" s="2">
        <v>393</v>
      </c>
      <c r="AA217" s="8">
        <f>Table2[[#This Row],[HOME MARGIN]]/Table2[[#This Row],[HOME GAMES]]</f>
        <v>8.1904761904761898</v>
      </c>
      <c r="AB217" s="8">
        <f>Table2[[#This Row],[AWAY MARGIN]]/Table2[[#This Row],[AWAY GAMES]]</f>
        <v>-4.6880733944954125</v>
      </c>
      <c r="AC217" s="8">
        <f>Table2[[#This Row],[HOME MARGIN/GAME]]-Table2[[#This Row],[AWAY MARGIN/GAME]]</f>
        <v>12.878549584971601</v>
      </c>
      <c r="AD217" s="23">
        <f>Table2[[#This Row],[HOME W/L%]]-Table2[[#This Row],[AWAY W/L%]]</f>
        <v>0.34900000000000003</v>
      </c>
      <c r="AE217" s="22"/>
      <c r="AF217"/>
    </row>
    <row r="218" spans="1:32" hidden="1" x14ac:dyDescent="0.2">
      <c r="A218" s="1">
        <v>316</v>
      </c>
      <c r="B218" s="1"/>
      <c r="C218" s="2" t="s">
        <v>233</v>
      </c>
      <c r="D218" s="2" t="str">
        <f>IF(COUNTIF($AG$3:$AG$20,C218)&gt;0,$AG$2,
 IF(COUNTIF($AH$3:$AH$20,C218)&gt;0,$AH$2,
 IF(COUNTIF($AI$3:$AI$20,C218)&gt;0,$AI$2,
 IF(COUNTIF($AJ$3:$AJ$20,C218)&gt;0,$AJ$2,
 IF(COUNTIF($AK$3:$AK$20,C218)&gt;0,$AK$2,
 IF(COUNTIF($AL$3:$AL$20,C218)&gt;0,$AL$2,
 IF(COUNTIF($AM$3:$AM$20,C218)&gt;0,$AM$2,"Not Found")))))))</f>
        <v>Not Found</v>
      </c>
      <c r="E218" s="2" t="s">
        <v>10</v>
      </c>
      <c r="F218" s="2" t="s">
        <v>11</v>
      </c>
      <c r="G218" s="2">
        <v>129</v>
      </c>
      <c r="H218" s="2">
        <v>362</v>
      </c>
      <c r="I218" s="2">
        <v>158</v>
      </c>
      <c r="J218" s="2">
        <v>-1774</v>
      </c>
      <c r="K218" s="4">
        <v>0.52700000000000002</v>
      </c>
      <c r="L218" s="4">
        <v>0.27200000000000002</v>
      </c>
      <c r="M218" s="2">
        <v>103</v>
      </c>
      <c r="N218" s="2">
        <v>94.2</v>
      </c>
      <c r="O218" s="2">
        <v>99.2</v>
      </c>
      <c r="P218" s="2">
        <v>109.6</v>
      </c>
      <c r="Q218" s="4">
        <v>0.54100000000000004</v>
      </c>
      <c r="R218" s="4">
        <v>0.51</v>
      </c>
      <c r="S218" s="4">
        <v>0.52800000000000002</v>
      </c>
      <c r="T218" s="4">
        <v>0.56200000000000006</v>
      </c>
      <c r="U218" s="19">
        <f>Table2[[#This Row],[NET PF]]/Table2[[#This Row],[HOME GAMES]]</f>
        <v>-0.75193798449612403</v>
      </c>
      <c r="V218" s="28">
        <f>393/Table2[[#This Row],[AWAY GAMES]]</f>
        <v>2.4873417721518987</v>
      </c>
      <c r="W218" s="4">
        <v>0.69199999999999995</v>
      </c>
      <c r="X218" s="4">
        <v>0.71299999999999997</v>
      </c>
      <c r="Y218" s="2">
        <v>-97</v>
      </c>
      <c r="Z218" s="2">
        <v>306</v>
      </c>
      <c r="AA218" s="8">
        <f>Table2[[#This Row],[HOME MARGIN]]/Table2[[#This Row],[HOME GAMES]]</f>
        <v>2.806201550387597</v>
      </c>
      <c r="AB218" s="8">
        <f>Table2[[#This Row],[AWAY MARGIN]]/Table2[[#This Row],[AWAY GAMES]]</f>
        <v>-11.227848101265822</v>
      </c>
      <c r="AC218" s="8">
        <f>Table2[[#This Row],[HOME MARGIN/GAME]]-Table2[[#This Row],[AWAY MARGIN/GAME]]</f>
        <v>14.034049651653419</v>
      </c>
      <c r="AD218" s="23">
        <f>Table2[[#This Row],[HOME W/L%]]-Table2[[#This Row],[AWAY W/L%]]</f>
        <v>0.255</v>
      </c>
      <c r="AE218" s="22"/>
      <c r="AF218"/>
    </row>
    <row r="219" spans="1:32" x14ac:dyDescent="0.2">
      <c r="A219" s="1">
        <v>142</v>
      </c>
      <c r="B219" s="1">
        <v>56</v>
      </c>
      <c r="C219" s="2" t="s">
        <v>140</v>
      </c>
      <c r="D219" s="2" t="str">
        <f>IF(COUNTIF($AG$3:$AG$20,C219)&gt;0,$AG$2,
 IF(COUNTIF($AH$3:$AH$20,C219)&gt;0,$AH$2,
 IF(COUNTIF($AI$3:$AI$20,C219)&gt;0,$AI$2,
 IF(COUNTIF($AJ$3:$AJ$20,C219)&gt;0,$AJ$2,
 IF(COUNTIF($AK$3:$AK$20,C219)&gt;0,$AK$2,
 IF(COUNTIF($AL$3:$AL$20,C219)&gt;0,$AL$2,
 IF(COUNTIF($AM$3:$AM$20,C219)&gt;0,$AM$2,"Not Found")))))))</f>
        <v>ACC</v>
      </c>
      <c r="E219" s="2" t="s">
        <v>10</v>
      </c>
      <c r="F219" s="2" t="s">
        <v>11</v>
      </c>
      <c r="G219" s="2">
        <v>165</v>
      </c>
      <c r="H219" s="2">
        <v>1299</v>
      </c>
      <c r="I219" s="2">
        <v>110</v>
      </c>
      <c r="J219" s="2">
        <v>-389</v>
      </c>
      <c r="K219" s="4">
        <v>0.70899999999999996</v>
      </c>
      <c r="L219" s="4">
        <v>0.32700000000000001</v>
      </c>
      <c r="M219" s="2">
        <v>110.3</v>
      </c>
      <c r="N219" s="2">
        <v>102.3</v>
      </c>
      <c r="O219" s="2">
        <v>98.7</v>
      </c>
      <c r="P219" s="2">
        <v>107.6</v>
      </c>
      <c r="Q219" s="4">
        <v>0.56100000000000005</v>
      </c>
      <c r="R219" s="4">
        <v>0.53500000000000003</v>
      </c>
      <c r="S219" s="4">
        <v>0.50800000000000001</v>
      </c>
      <c r="T219" s="4">
        <v>0.53800000000000003</v>
      </c>
      <c r="U219" s="19">
        <f>Table2[[#This Row],[NET PF]]/Table2[[#This Row],[HOME GAMES]]</f>
        <v>-2.6909090909090909</v>
      </c>
      <c r="V219" s="28">
        <f>393/Table2[[#This Row],[AWAY GAMES]]</f>
        <v>3.5727272727272728</v>
      </c>
      <c r="W219" s="4">
        <v>0.71599999999999997</v>
      </c>
      <c r="X219" s="4">
        <v>0.73399999999999999</v>
      </c>
      <c r="Y219" s="2">
        <v>-444</v>
      </c>
      <c r="Z219" s="2">
        <v>-1</v>
      </c>
      <c r="AA219" s="8">
        <f>Table2[[#This Row],[HOME MARGIN]]/Table2[[#This Row],[HOME GAMES]]</f>
        <v>7.872727272727273</v>
      </c>
      <c r="AB219" s="8">
        <f>Table2[[#This Row],[AWAY MARGIN]]/Table2[[#This Row],[AWAY GAMES]]</f>
        <v>-3.5363636363636362</v>
      </c>
      <c r="AC219" s="8">
        <f>Table2[[#This Row],[HOME MARGIN/GAME]]-Table2[[#This Row],[AWAY MARGIN/GAME]]</f>
        <v>11.40909090909091</v>
      </c>
      <c r="AD219" s="23">
        <f>Table2[[#This Row],[HOME W/L%]]-Table2[[#This Row],[AWAY W/L%]]</f>
        <v>0.38199999999999995</v>
      </c>
      <c r="AE219" s="22"/>
      <c r="AF219"/>
    </row>
    <row r="220" spans="1:32" hidden="1" x14ac:dyDescent="0.2">
      <c r="A220" s="1">
        <v>228</v>
      </c>
      <c r="B220" s="1"/>
      <c r="C220" s="2" t="s">
        <v>117</v>
      </c>
      <c r="D220" s="2" t="str">
        <f>IF(COUNTIF($AG$3:$AG$20,C220)&gt;0,$AG$2,
 IF(COUNTIF($AH$3:$AH$20,C220)&gt;0,$AH$2,
 IF(COUNTIF($AI$3:$AI$20,C220)&gt;0,$AI$2,
 IF(COUNTIF($AJ$3:$AJ$20,C220)&gt;0,$AJ$2,
 IF(COUNTIF($AK$3:$AK$20,C220)&gt;0,$AK$2,
 IF(COUNTIF($AL$3:$AL$20,C220)&gt;0,$AL$2,
 IF(COUNTIF($AM$3:$AM$20,C220)&gt;0,$AM$2,"Not Found")))))))</f>
        <v>Not Found</v>
      </c>
      <c r="E220" s="2" t="s">
        <v>10</v>
      </c>
      <c r="F220" s="2" t="s">
        <v>11</v>
      </c>
      <c r="G220" s="2">
        <v>129</v>
      </c>
      <c r="H220" s="2">
        <v>831</v>
      </c>
      <c r="I220" s="2">
        <v>151</v>
      </c>
      <c r="J220" s="2">
        <v>-323</v>
      </c>
      <c r="K220" s="4">
        <v>0.66700000000000004</v>
      </c>
      <c r="L220" s="4">
        <v>0.46400000000000002</v>
      </c>
      <c r="M220" s="2">
        <v>110.6</v>
      </c>
      <c r="N220" s="2">
        <v>102.2</v>
      </c>
      <c r="O220" s="2">
        <v>101.7</v>
      </c>
      <c r="P220" s="2">
        <v>105.2</v>
      </c>
      <c r="Q220" s="4">
        <v>0.57499999999999996</v>
      </c>
      <c r="R220" s="4">
        <v>0.53400000000000003</v>
      </c>
      <c r="S220" s="4">
        <v>0.53400000000000003</v>
      </c>
      <c r="T220" s="4">
        <v>0.54</v>
      </c>
      <c r="U220" s="19">
        <f>Table2[[#This Row],[NET PF]]/Table2[[#This Row],[HOME GAMES]]</f>
        <v>-4.2403100775193803</v>
      </c>
      <c r="V220" s="28">
        <f>393/Table2[[#This Row],[AWAY GAMES]]</f>
        <v>2.6026490066225167</v>
      </c>
      <c r="W220" s="4">
        <v>0.73599999999999999</v>
      </c>
      <c r="X220" s="4">
        <v>0.70899999999999996</v>
      </c>
      <c r="Y220" s="2">
        <v>-547</v>
      </c>
      <c r="Z220" s="2">
        <v>-165</v>
      </c>
      <c r="AA220" s="8">
        <f>Table2[[#This Row],[HOME MARGIN]]/Table2[[#This Row],[HOME GAMES]]</f>
        <v>6.441860465116279</v>
      </c>
      <c r="AB220" s="8">
        <f>Table2[[#This Row],[AWAY MARGIN]]/Table2[[#This Row],[AWAY GAMES]]</f>
        <v>-2.1390728476821192</v>
      </c>
      <c r="AC220" s="8">
        <f>Table2[[#This Row],[HOME MARGIN/GAME]]-Table2[[#This Row],[AWAY MARGIN/GAME]]</f>
        <v>8.5809333127983987</v>
      </c>
      <c r="AD220" s="23">
        <f>Table2[[#This Row],[HOME W/L%]]-Table2[[#This Row],[AWAY W/L%]]</f>
        <v>0.20300000000000001</v>
      </c>
      <c r="AE220" s="22"/>
      <c r="AF220"/>
    </row>
    <row r="221" spans="1:32" hidden="1" x14ac:dyDescent="0.2">
      <c r="A221" s="1">
        <v>84</v>
      </c>
      <c r="B221" s="1"/>
      <c r="C221" s="2" t="s">
        <v>141</v>
      </c>
      <c r="D221" s="2" t="str">
        <f>IF(COUNTIF($AG$3:$AG$20,C221)&gt;0,$AG$2,
 IF(COUNTIF($AH$3:$AH$20,C221)&gt;0,$AH$2,
 IF(COUNTIF($AI$3:$AI$20,C221)&gt;0,$AI$2,
 IF(COUNTIF($AJ$3:$AJ$20,C221)&gt;0,$AJ$2,
 IF(COUNTIF($AK$3:$AK$20,C221)&gt;0,$AK$2,
 IF(COUNTIF($AL$3:$AL$20,C221)&gt;0,$AL$2,
 IF(COUNTIF($AM$3:$AM$20,C221)&gt;0,$AM$2,"Not Found")))))))</f>
        <v>Not Found</v>
      </c>
      <c r="E221" s="2" t="s">
        <v>10</v>
      </c>
      <c r="F221" s="2" t="s">
        <v>11</v>
      </c>
      <c r="G221" s="2">
        <v>153</v>
      </c>
      <c r="H221" s="2">
        <v>1633</v>
      </c>
      <c r="I221" s="2">
        <v>121</v>
      </c>
      <c r="J221" s="2">
        <v>-400</v>
      </c>
      <c r="K221" s="4">
        <v>0.78400000000000003</v>
      </c>
      <c r="L221" s="4">
        <v>0.372</v>
      </c>
      <c r="M221" s="2">
        <v>110.4</v>
      </c>
      <c r="N221" s="2">
        <v>101.2</v>
      </c>
      <c r="O221" s="2">
        <v>95.7</v>
      </c>
      <c r="P221" s="2">
        <v>105.8</v>
      </c>
      <c r="Q221" s="4">
        <v>0.57499999999999996</v>
      </c>
      <c r="R221" s="4">
        <v>0.53400000000000003</v>
      </c>
      <c r="S221" s="4">
        <v>0.51300000000000001</v>
      </c>
      <c r="T221" s="4">
        <v>0.55700000000000005</v>
      </c>
      <c r="U221" s="19">
        <f>Table2[[#This Row],[NET PF]]/Table2[[#This Row],[HOME GAMES]]</f>
        <v>-3.3398692810457518</v>
      </c>
      <c r="V221" s="28">
        <f>393/Table2[[#This Row],[AWAY GAMES]]</f>
        <v>3.2479338842975207</v>
      </c>
      <c r="W221" s="4">
        <v>0.70499999999999996</v>
      </c>
      <c r="X221" s="4">
        <v>0.73299999999999998</v>
      </c>
      <c r="Y221" s="2">
        <v>-511</v>
      </c>
      <c r="Z221" s="2">
        <v>116</v>
      </c>
      <c r="AA221" s="8">
        <f>Table2[[#This Row],[HOME MARGIN]]/Table2[[#This Row],[HOME GAMES]]</f>
        <v>10.673202614379084</v>
      </c>
      <c r="AB221" s="8">
        <f>Table2[[#This Row],[AWAY MARGIN]]/Table2[[#This Row],[AWAY GAMES]]</f>
        <v>-3.3057851239669422</v>
      </c>
      <c r="AC221" s="8">
        <f>Table2[[#This Row],[HOME MARGIN/GAME]]-Table2[[#This Row],[AWAY MARGIN/GAME]]</f>
        <v>13.978987738346026</v>
      </c>
      <c r="AD221" s="23">
        <f>Table2[[#This Row],[HOME W/L%]]-Table2[[#This Row],[AWAY W/L%]]</f>
        <v>0.41200000000000003</v>
      </c>
      <c r="AE221" s="22"/>
      <c r="AF221"/>
    </row>
    <row r="222" spans="1:32" x14ac:dyDescent="0.2">
      <c r="A222" s="1">
        <v>44</v>
      </c>
      <c r="B222" s="1">
        <v>28</v>
      </c>
      <c r="C222" s="2" t="s">
        <v>136</v>
      </c>
      <c r="D222" s="2" t="str">
        <f>IF(COUNTIF($AG$3:$AG$20,C222)&gt;0,$AG$2,
 IF(COUNTIF($AH$3:$AH$20,C222)&gt;0,$AH$2,
 IF(COUNTIF($AI$3:$AI$20,C222)&gt;0,$AI$2,
 IF(COUNTIF($AJ$3:$AJ$20,C222)&gt;0,$AJ$2,
 IF(COUNTIF($AK$3:$AK$20,C222)&gt;0,$AK$2,
 IF(COUNTIF($AL$3:$AL$20,C222)&gt;0,$AL$2,
 IF(COUNTIF($AM$3:$AM$20,C222)&gt;0,$AM$2,"Not Found")))))))</f>
        <v>Big 10</v>
      </c>
      <c r="E222" s="2" t="s">
        <v>10</v>
      </c>
      <c r="F222" s="2" t="s">
        <v>11</v>
      </c>
      <c r="G222" s="2">
        <v>171</v>
      </c>
      <c r="H222" s="2">
        <v>2002</v>
      </c>
      <c r="I222" s="2">
        <v>105</v>
      </c>
      <c r="J222" s="2">
        <v>-377</v>
      </c>
      <c r="K222" s="4">
        <v>0.74299999999999999</v>
      </c>
      <c r="L222" s="4">
        <v>0.39</v>
      </c>
      <c r="M222" s="2">
        <v>111.7</v>
      </c>
      <c r="N222" s="2">
        <v>101.1</v>
      </c>
      <c r="O222" s="2">
        <v>94.7</v>
      </c>
      <c r="P222" s="2">
        <v>106.4</v>
      </c>
      <c r="Q222" s="4">
        <v>0.57999999999999996</v>
      </c>
      <c r="R222" s="4">
        <v>0.52600000000000002</v>
      </c>
      <c r="S222" s="4">
        <v>0.499</v>
      </c>
      <c r="T222" s="4">
        <v>0.54300000000000004</v>
      </c>
      <c r="U222" s="19">
        <f>Table2[[#This Row],[NET PF]]/Table2[[#This Row],[HOME GAMES]]</f>
        <v>-2.7251461988304095</v>
      </c>
      <c r="V222" s="28">
        <f>393/Table2[[#This Row],[AWAY GAMES]]</f>
        <v>3.7428571428571429</v>
      </c>
      <c r="W222" s="4">
        <v>0.71699999999999997</v>
      </c>
      <c r="X222" s="4">
        <v>0.71199999999999997</v>
      </c>
      <c r="Y222" s="2">
        <v>-466</v>
      </c>
      <c r="Z222" s="2">
        <v>227</v>
      </c>
      <c r="AA222" s="8">
        <f>Table2[[#This Row],[HOME MARGIN]]/Table2[[#This Row],[HOME GAMES]]</f>
        <v>11.707602339181287</v>
      </c>
      <c r="AB222" s="8">
        <f>Table2[[#This Row],[AWAY MARGIN]]/Table2[[#This Row],[AWAY GAMES]]</f>
        <v>-3.5904761904761906</v>
      </c>
      <c r="AC222" s="8">
        <f>Table2[[#This Row],[HOME MARGIN/GAME]]-Table2[[#This Row],[AWAY MARGIN/GAME]]</f>
        <v>15.298078529657477</v>
      </c>
      <c r="AD222" s="23">
        <f>Table2[[#This Row],[HOME W/L%]]-Table2[[#This Row],[AWAY W/L%]]</f>
        <v>0.35299999999999998</v>
      </c>
      <c r="AE222" s="22"/>
      <c r="AF222"/>
    </row>
    <row r="223" spans="1:32" x14ac:dyDescent="0.2">
      <c r="A223" s="1">
        <v>88</v>
      </c>
      <c r="B223" s="1">
        <v>40</v>
      </c>
      <c r="C223" s="2" t="s">
        <v>202</v>
      </c>
      <c r="D223" s="2" t="str">
        <f>IF(COUNTIF($AG$3:$AG$20,C223)&gt;0,$AG$2,
 IF(COUNTIF($AH$3:$AH$20,C223)&gt;0,$AH$2,
 IF(COUNTIF($AI$3:$AI$20,C223)&gt;0,$AI$2,
 IF(COUNTIF($AJ$3:$AJ$20,C223)&gt;0,$AJ$2,
 IF(COUNTIF($AK$3:$AK$20,C223)&gt;0,$AK$2,
 IF(COUNTIF($AL$3:$AL$20,C223)&gt;0,$AL$2,
 IF(COUNTIF($AM$3:$AM$20,C223)&gt;0,$AM$2,"Not Found")))))))</f>
        <v>SEC</v>
      </c>
      <c r="E223" s="2" t="s">
        <v>10</v>
      </c>
      <c r="F223" s="2" t="s">
        <v>11</v>
      </c>
      <c r="G223" s="2">
        <v>155</v>
      </c>
      <c r="H223" s="2">
        <v>1606</v>
      </c>
      <c r="I223" s="2">
        <v>106</v>
      </c>
      <c r="J223" s="2">
        <v>-611</v>
      </c>
      <c r="K223" s="4">
        <v>0.73499999999999999</v>
      </c>
      <c r="L223" s="4">
        <v>0.311</v>
      </c>
      <c r="M223" s="2">
        <v>108.3</v>
      </c>
      <c r="N223" s="2">
        <v>99</v>
      </c>
      <c r="O223" s="2">
        <v>93.8</v>
      </c>
      <c r="P223" s="2">
        <v>107.2</v>
      </c>
      <c r="Q223" s="4">
        <v>0.57299999999999995</v>
      </c>
      <c r="R223" s="4">
        <v>0.52800000000000002</v>
      </c>
      <c r="S223" s="4">
        <v>0.496</v>
      </c>
      <c r="T223" s="4">
        <v>0.54800000000000004</v>
      </c>
      <c r="U223" s="19">
        <f>Table2[[#This Row],[NET PF]]/Table2[[#This Row],[HOME GAMES]]</f>
        <v>-2.9870967741935486</v>
      </c>
      <c r="V223" s="28">
        <f>393/Table2[[#This Row],[AWAY GAMES]]</f>
        <v>3.7075471698113209</v>
      </c>
      <c r="W223" s="4">
        <v>0.69199999999999995</v>
      </c>
      <c r="X223" s="4">
        <v>0.72599999999999998</v>
      </c>
      <c r="Y223" s="2">
        <v>-463</v>
      </c>
      <c r="Z223" s="2">
        <v>150</v>
      </c>
      <c r="AA223" s="8">
        <f>Table2[[#This Row],[HOME MARGIN]]/Table2[[#This Row],[HOME GAMES]]</f>
        <v>10.361290322580645</v>
      </c>
      <c r="AB223" s="8">
        <f>Table2[[#This Row],[AWAY MARGIN]]/Table2[[#This Row],[AWAY GAMES]]</f>
        <v>-5.7641509433962268</v>
      </c>
      <c r="AC223" s="8">
        <f>Table2[[#This Row],[HOME MARGIN/GAME]]-Table2[[#This Row],[AWAY MARGIN/GAME]]</f>
        <v>16.125441265976871</v>
      </c>
      <c r="AD223" s="23">
        <f>Table2[[#This Row],[HOME W/L%]]-Table2[[#This Row],[AWAY W/L%]]</f>
        <v>0.42399999999999999</v>
      </c>
      <c r="AE223" s="22"/>
      <c r="AF223"/>
    </row>
    <row r="224" spans="1:32" x14ac:dyDescent="0.2">
      <c r="A224" s="1">
        <v>208</v>
      </c>
      <c r="B224" s="1">
        <v>69</v>
      </c>
      <c r="C224" s="2" t="s">
        <v>184</v>
      </c>
      <c r="D224" s="2" t="str">
        <f>IF(COUNTIF($AG$3:$AG$20,C224)&gt;0,$AG$2,
 IF(COUNTIF($AH$3:$AH$20,C224)&gt;0,$AH$2,
 IF(COUNTIF($AI$3:$AI$20,C224)&gt;0,$AI$2,
 IF(COUNTIF($AJ$3:$AJ$20,C224)&gt;0,$AJ$2,
 IF(COUNTIF($AK$3:$AK$20,C224)&gt;0,$AK$2,
 IF(COUNTIF($AL$3:$AL$20,C224)&gt;0,$AL$2,
 IF(COUNTIF($AM$3:$AM$20,C224)&gt;0,$AM$2,"Not Found")))))))</f>
        <v>Big 12</v>
      </c>
      <c r="E224" s="2" t="s">
        <v>10</v>
      </c>
      <c r="F224" s="2" t="s">
        <v>11</v>
      </c>
      <c r="G224" s="2">
        <v>159</v>
      </c>
      <c r="H224" s="2">
        <v>934</v>
      </c>
      <c r="I224" s="2">
        <v>112</v>
      </c>
      <c r="J224" s="2">
        <v>-561</v>
      </c>
      <c r="K224" s="4">
        <v>0.64800000000000002</v>
      </c>
      <c r="L224" s="4">
        <v>0.32100000000000001</v>
      </c>
      <c r="M224" s="2">
        <v>104.7</v>
      </c>
      <c r="N224" s="2">
        <v>97.9</v>
      </c>
      <c r="O224" s="2">
        <v>96.5</v>
      </c>
      <c r="P224" s="2">
        <v>105.1</v>
      </c>
      <c r="Q224" s="4">
        <v>0.55100000000000005</v>
      </c>
      <c r="R224" s="4">
        <v>0.52400000000000002</v>
      </c>
      <c r="S224" s="4">
        <v>0.51800000000000002</v>
      </c>
      <c r="T224" s="4">
        <v>0.54600000000000004</v>
      </c>
      <c r="U224" s="19">
        <f>Table2[[#This Row],[NET PF]]/Table2[[#This Row],[HOME GAMES]]</f>
        <v>-1.9056603773584906</v>
      </c>
      <c r="V224" s="28">
        <f>393/Table2[[#This Row],[AWAY GAMES]]</f>
        <v>3.5089285714285716</v>
      </c>
      <c r="W224" s="4">
        <v>0.72199999999999998</v>
      </c>
      <c r="X224" s="4">
        <v>0.72299999999999998</v>
      </c>
      <c r="Y224" s="2">
        <v>-303</v>
      </c>
      <c r="Z224" s="2">
        <v>305</v>
      </c>
      <c r="AA224" s="8">
        <f>Table2[[#This Row],[HOME MARGIN]]/Table2[[#This Row],[HOME GAMES]]</f>
        <v>5.8742138364779874</v>
      </c>
      <c r="AB224" s="8">
        <f>Table2[[#This Row],[AWAY MARGIN]]/Table2[[#This Row],[AWAY GAMES]]</f>
        <v>-5.0089285714285712</v>
      </c>
      <c r="AC224" s="8">
        <f>Table2[[#This Row],[HOME MARGIN/GAME]]-Table2[[#This Row],[AWAY MARGIN/GAME]]</f>
        <v>10.883142407906558</v>
      </c>
      <c r="AD224" s="23">
        <f>Table2[[#This Row],[HOME W/L%]]-Table2[[#This Row],[AWAY W/L%]]</f>
        <v>0.32700000000000001</v>
      </c>
      <c r="AE224" s="22"/>
      <c r="AF224"/>
    </row>
    <row r="225" spans="1:32" hidden="1" x14ac:dyDescent="0.2">
      <c r="A225" s="1">
        <v>180</v>
      </c>
      <c r="B225" s="1"/>
      <c r="C225" s="2" t="s">
        <v>139</v>
      </c>
      <c r="D225" s="2" t="str">
        <f>IF(COUNTIF($AG$3:$AG$20,C225)&gt;0,$AG$2,
 IF(COUNTIF($AH$3:$AH$20,C225)&gt;0,$AH$2,
 IF(COUNTIF($AI$3:$AI$20,C225)&gt;0,$AI$2,
 IF(COUNTIF($AJ$3:$AJ$20,C225)&gt;0,$AJ$2,
 IF(COUNTIF($AK$3:$AK$20,C225)&gt;0,$AK$2,
 IF(COUNTIF($AL$3:$AL$20,C225)&gt;0,$AL$2,
 IF(COUNTIF($AM$3:$AM$20,C225)&gt;0,$AM$2,"Not Found")))))))</f>
        <v>Not Found</v>
      </c>
      <c r="E225" s="2" t="s">
        <v>10</v>
      </c>
      <c r="F225" s="2" t="s">
        <v>11</v>
      </c>
      <c r="G225" s="2">
        <v>145</v>
      </c>
      <c r="H225" s="2">
        <v>1088</v>
      </c>
      <c r="I225" s="2">
        <v>126</v>
      </c>
      <c r="J225" s="2">
        <v>-382</v>
      </c>
      <c r="K225" s="4">
        <v>0.69699999999999995</v>
      </c>
      <c r="L225" s="4">
        <v>0.44400000000000001</v>
      </c>
      <c r="M225" s="2">
        <v>104</v>
      </c>
      <c r="N225" s="2">
        <v>98.1</v>
      </c>
      <c r="O225" s="2">
        <v>92.9</v>
      </c>
      <c r="P225" s="2">
        <v>102.6</v>
      </c>
      <c r="Q225" s="4">
        <v>0.51200000000000001</v>
      </c>
      <c r="R225" s="4">
        <v>0.50600000000000001</v>
      </c>
      <c r="S225" s="4">
        <v>0.49399999999999999</v>
      </c>
      <c r="T225" s="4">
        <v>0.54</v>
      </c>
      <c r="U225" s="19">
        <f>Table2[[#This Row],[NET PF]]/Table2[[#This Row],[HOME GAMES]]</f>
        <v>-2</v>
      </c>
      <c r="V225" s="28">
        <f>393/Table2[[#This Row],[AWAY GAMES]]</f>
        <v>3.1190476190476191</v>
      </c>
      <c r="W225" s="4">
        <v>0.67300000000000004</v>
      </c>
      <c r="X225" s="4">
        <v>0.71399999999999997</v>
      </c>
      <c r="Y225" s="2">
        <v>-290</v>
      </c>
      <c r="Z225" s="2">
        <v>303</v>
      </c>
      <c r="AA225" s="8">
        <f>Table2[[#This Row],[HOME MARGIN]]/Table2[[#This Row],[HOME GAMES]]</f>
        <v>7.5034482758620689</v>
      </c>
      <c r="AB225" s="8">
        <f>Table2[[#This Row],[AWAY MARGIN]]/Table2[[#This Row],[AWAY GAMES]]</f>
        <v>-3.0317460317460316</v>
      </c>
      <c r="AC225" s="8">
        <f>Table2[[#This Row],[HOME MARGIN/GAME]]-Table2[[#This Row],[AWAY MARGIN/GAME]]</f>
        <v>10.535194307608101</v>
      </c>
      <c r="AD225" s="23">
        <f>Table2[[#This Row],[HOME W/L%]]-Table2[[#This Row],[AWAY W/L%]]</f>
        <v>0.25299999999999995</v>
      </c>
      <c r="AE225" s="22"/>
      <c r="AF225"/>
    </row>
    <row r="226" spans="1:32" hidden="1" x14ac:dyDescent="0.2">
      <c r="A226" s="1">
        <v>182</v>
      </c>
      <c r="B226" s="1"/>
      <c r="C226" s="2" t="s">
        <v>186</v>
      </c>
      <c r="D226" s="2" t="str">
        <f>IF(COUNTIF($AG$3:$AG$20,C226)&gt;0,$AG$2,
 IF(COUNTIF($AH$3:$AH$20,C226)&gt;0,$AH$2,
 IF(COUNTIF($AI$3:$AI$20,C226)&gt;0,$AI$2,
 IF(COUNTIF($AJ$3:$AJ$20,C226)&gt;0,$AJ$2,
 IF(COUNTIF($AK$3:$AK$20,C226)&gt;0,$AK$2,
 IF(COUNTIF($AL$3:$AL$20,C226)&gt;0,$AL$2,
 IF(COUNTIF($AM$3:$AM$20,C226)&gt;0,$AM$2,"Not Found")))))))</f>
        <v>Not Found</v>
      </c>
      <c r="E226" s="2" t="s">
        <v>10</v>
      </c>
      <c r="F226" s="2" t="s">
        <v>11</v>
      </c>
      <c r="G226" s="2">
        <v>166</v>
      </c>
      <c r="H226" s="2">
        <v>1068</v>
      </c>
      <c r="I226" s="2">
        <v>110</v>
      </c>
      <c r="J226" s="2">
        <v>-567</v>
      </c>
      <c r="K226" s="4">
        <v>0.67500000000000004</v>
      </c>
      <c r="L226" s="4">
        <v>0.33600000000000002</v>
      </c>
      <c r="M226" s="2">
        <v>105.5</v>
      </c>
      <c r="N226" s="2">
        <v>98.4</v>
      </c>
      <c r="O226" s="2">
        <v>96.6</v>
      </c>
      <c r="P226" s="2">
        <v>105.8</v>
      </c>
      <c r="Q226" s="4">
        <v>0.54900000000000004</v>
      </c>
      <c r="R226" s="4">
        <v>0.51200000000000001</v>
      </c>
      <c r="S226" s="4">
        <v>0.52100000000000002</v>
      </c>
      <c r="T226" s="4">
        <v>0.55300000000000005</v>
      </c>
      <c r="U226" s="19">
        <f>Table2[[#This Row],[NET PF]]/Table2[[#This Row],[HOME GAMES]]</f>
        <v>-1.7409638554216869</v>
      </c>
      <c r="V226" s="28">
        <f>393/Table2[[#This Row],[AWAY GAMES]]</f>
        <v>3.5727272727272728</v>
      </c>
      <c r="W226" s="4">
        <v>0.71299999999999997</v>
      </c>
      <c r="X226" s="4">
        <v>0.69699999999999995</v>
      </c>
      <c r="Y226" s="2">
        <v>-289</v>
      </c>
      <c r="Z226" s="2">
        <v>203</v>
      </c>
      <c r="AA226" s="8">
        <f>Table2[[#This Row],[HOME MARGIN]]/Table2[[#This Row],[HOME GAMES]]</f>
        <v>6.4337349397590362</v>
      </c>
      <c r="AB226" s="8">
        <f>Table2[[#This Row],[AWAY MARGIN]]/Table2[[#This Row],[AWAY GAMES]]</f>
        <v>-5.1545454545454543</v>
      </c>
      <c r="AC226" s="8">
        <f>Table2[[#This Row],[HOME MARGIN/GAME]]-Table2[[#This Row],[AWAY MARGIN/GAME]]</f>
        <v>11.588280394304491</v>
      </c>
      <c r="AD226" s="23">
        <f>Table2[[#This Row],[HOME W/L%]]-Table2[[#This Row],[AWAY W/L%]]</f>
        <v>0.33900000000000002</v>
      </c>
      <c r="AE226" s="22"/>
      <c r="AF226"/>
    </row>
    <row r="227" spans="1:32" hidden="1" x14ac:dyDescent="0.2">
      <c r="A227" s="1">
        <v>271</v>
      </c>
      <c r="B227" s="1"/>
      <c r="C227" s="2" t="s">
        <v>245</v>
      </c>
      <c r="D227" s="2" t="str">
        <f>IF(COUNTIF($AG$3:$AG$20,C227)&gt;0,$AG$2,
 IF(COUNTIF($AH$3:$AH$20,C227)&gt;0,$AH$2,
 IF(COUNTIF($AI$3:$AI$20,C227)&gt;0,$AI$2,
 IF(COUNTIF($AJ$3:$AJ$20,C227)&gt;0,$AJ$2,
 IF(COUNTIF($AK$3:$AK$20,C227)&gt;0,$AK$2,
 IF(COUNTIF($AL$3:$AL$20,C227)&gt;0,$AL$2,
 IF(COUNTIF($AM$3:$AM$20,C227)&gt;0,$AM$2,"Not Found")))))))</f>
        <v>Not Found</v>
      </c>
      <c r="E227" s="2" t="s">
        <v>10</v>
      </c>
      <c r="F227" s="2" t="s">
        <v>11</v>
      </c>
      <c r="G227" s="2">
        <v>122</v>
      </c>
      <c r="H227" s="2">
        <v>621</v>
      </c>
      <c r="I227" s="2">
        <v>158</v>
      </c>
      <c r="J227" s="2">
        <v>-1551</v>
      </c>
      <c r="K227" s="4">
        <v>0.65600000000000003</v>
      </c>
      <c r="L227" s="4">
        <v>0.26600000000000001</v>
      </c>
      <c r="M227" s="2">
        <v>111.4</v>
      </c>
      <c r="N227" s="2">
        <v>98.3</v>
      </c>
      <c r="O227" s="2">
        <v>104.5</v>
      </c>
      <c r="P227" s="2">
        <v>111.7</v>
      </c>
      <c r="Q227" s="4">
        <v>0.57999999999999996</v>
      </c>
      <c r="R227" s="4">
        <v>0.52200000000000002</v>
      </c>
      <c r="S227" s="4">
        <v>0.55700000000000005</v>
      </c>
      <c r="T227" s="4">
        <v>0.58099999999999996</v>
      </c>
      <c r="U227" s="19">
        <f>Table2[[#This Row],[NET PF]]/Table2[[#This Row],[HOME GAMES]]</f>
        <v>-2.0901639344262297</v>
      </c>
      <c r="V227" s="28">
        <f>393/Table2[[#This Row],[AWAY GAMES]]</f>
        <v>2.4873417721518987</v>
      </c>
      <c r="W227" s="4">
        <v>0.75</v>
      </c>
      <c r="X227" s="4">
        <v>0.74099999999999999</v>
      </c>
      <c r="Y227" s="2">
        <v>-255</v>
      </c>
      <c r="Z227" s="2">
        <v>258</v>
      </c>
      <c r="AA227" s="8">
        <f>Table2[[#This Row],[HOME MARGIN]]/Table2[[#This Row],[HOME GAMES]]</f>
        <v>5.0901639344262293</v>
      </c>
      <c r="AB227" s="8">
        <f>Table2[[#This Row],[AWAY MARGIN]]/Table2[[#This Row],[AWAY GAMES]]</f>
        <v>-9.8164556962025316</v>
      </c>
      <c r="AC227" s="8">
        <f>Table2[[#This Row],[HOME MARGIN/GAME]]-Table2[[#This Row],[AWAY MARGIN/GAME]]</f>
        <v>14.906619630628761</v>
      </c>
      <c r="AD227" s="23">
        <f>Table2[[#This Row],[HOME W/L%]]-Table2[[#This Row],[AWAY W/L%]]</f>
        <v>0.39</v>
      </c>
      <c r="AE227" s="22"/>
      <c r="AF227"/>
    </row>
    <row r="228" spans="1:32" hidden="1" x14ac:dyDescent="0.2">
      <c r="A228" s="1">
        <v>111</v>
      </c>
      <c r="B228" s="1"/>
      <c r="C228" s="2" t="s">
        <v>307</v>
      </c>
      <c r="D228" s="2" t="str">
        <f>IF(COUNTIF($AG$3:$AG$20,C228)&gt;0,$AG$2,
 IF(COUNTIF($AH$3:$AH$20,C228)&gt;0,$AH$2,
 IF(COUNTIF($AI$3:$AI$20,C228)&gt;0,$AI$2,
 IF(COUNTIF($AJ$3:$AJ$20,C228)&gt;0,$AJ$2,
 IF(COUNTIF($AK$3:$AK$20,C228)&gt;0,$AK$2,
 IF(COUNTIF($AL$3:$AL$20,C228)&gt;0,$AL$2,
 IF(COUNTIF($AM$3:$AM$20,C228)&gt;0,$AM$2,"Not Found")))))))</f>
        <v>Not Found</v>
      </c>
      <c r="E228" s="2" t="s">
        <v>10</v>
      </c>
      <c r="F228" s="2" t="s">
        <v>11</v>
      </c>
      <c r="G228" s="2">
        <v>135</v>
      </c>
      <c r="H228" s="2">
        <v>1452</v>
      </c>
      <c r="I228" s="2">
        <v>149</v>
      </c>
      <c r="J228" s="2">
        <v>-1018</v>
      </c>
      <c r="K228" s="4">
        <v>0.68899999999999995</v>
      </c>
      <c r="L228" s="4">
        <v>0.26800000000000002</v>
      </c>
      <c r="M228" s="2">
        <v>113.1</v>
      </c>
      <c r="N228" s="2">
        <v>102.4</v>
      </c>
      <c r="O228" s="2">
        <v>98.3</v>
      </c>
      <c r="P228" s="2">
        <v>112</v>
      </c>
      <c r="Q228" s="4">
        <v>0.57699999999999996</v>
      </c>
      <c r="R228" s="4">
        <v>0.53600000000000003</v>
      </c>
      <c r="S228" s="4">
        <v>0.52</v>
      </c>
      <c r="T228" s="4">
        <v>0.56699999999999995</v>
      </c>
      <c r="U228" s="19">
        <f>Table2[[#This Row],[NET PF]]/Table2[[#This Row],[HOME GAMES]]</f>
        <v>-1.6222222222222222</v>
      </c>
      <c r="V228" s="28">
        <f>393/Table2[[#This Row],[AWAY GAMES]]</f>
        <v>2.6375838926174495</v>
      </c>
      <c r="W228" s="4">
        <v>0.70399999999999996</v>
      </c>
      <c r="X228" s="4">
        <v>0.73799999999999999</v>
      </c>
      <c r="Y228" s="2">
        <v>-219</v>
      </c>
      <c r="Z228" s="2">
        <v>389</v>
      </c>
      <c r="AA228" s="8">
        <f>Table2[[#This Row],[HOME MARGIN]]/Table2[[#This Row],[HOME GAMES]]</f>
        <v>10.755555555555556</v>
      </c>
      <c r="AB228" s="8">
        <f>Table2[[#This Row],[AWAY MARGIN]]/Table2[[#This Row],[AWAY GAMES]]</f>
        <v>-6.8322147651006713</v>
      </c>
      <c r="AC228" s="8">
        <f>Table2[[#This Row],[HOME MARGIN/GAME]]-Table2[[#This Row],[AWAY MARGIN/GAME]]</f>
        <v>17.587770320656226</v>
      </c>
      <c r="AD228" s="23">
        <f>Table2[[#This Row],[HOME W/L%]]-Table2[[#This Row],[AWAY W/L%]]</f>
        <v>0.42099999999999993</v>
      </c>
      <c r="AE228" s="22"/>
      <c r="AF228"/>
    </row>
    <row r="229" spans="1:32" x14ac:dyDescent="0.2">
      <c r="A229" s="1">
        <v>23</v>
      </c>
      <c r="B229" s="1">
        <v>19</v>
      </c>
      <c r="C229" s="2" t="s">
        <v>69</v>
      </c>
      <c r="D229" s="2" t="str">
        <f>IF(COUNTIF($AG$3:$AG$20,C229)&gt;0,$AG$2,
 IF(COUNTIF($AH$3:$AH$20,C229)&gt;0,$AH$2,
 IF(COUNTIF($AI$3:$AI$20,C229)&gt;0,$AI$2,
 IF(COUNTIF($AJ$3:$AJ$20,C229)&gt;0,$AJ$2,
 IF(COUNTIF($AK$3:$AK$20,C229)&gt;0,$AK$2,
 IF(COUNTIF($AL$3:$AL$20,C229)&gt;0,$AL$2,
 IF(COUNTIF($AM$3:$AM$20,C229)&gt;0,$AM$2,"Not Found")))))))</f>
        <v>Big 10</v>
      </c>
      <c r="E229" s="2" t="s">
        <v>10</v>
      </c>
      <c r="F229" s="2" t="s">
        <v>11</v>
      </c>
      <c r="G229" s="2">
        <v>167</v>
      </c>
      <c r="H229" s="2">
        <v>2199</v>
      </c>
      <c r="I229" s="2">
        <v>103</v>
      </c>
      <c r="J229" s="2">
        <v>-85</v>
      </c>
      <c r="K229" s="4">
        <v>0.84399999999999997</v>
      </c>
      <c r="L229" s="4">
        <v>0.53400000000000003</v>
      </c>
      <c r="M229" s="2">
        <v>111.9</v>
      </c>
      <c r="N229" s="2">
        <v>103.7</v>
      </c>
      <c r="O229" s="2">
        <v>93.1</v>
      </c>
      <c r="P229" s="2">
        <v>104.9</v>
      </c>
      <c r="Q229" s="4">
        <v>0.58199999999999996</v>
      </c>
      <c r="R229" s="4">
        <v>0.53500000000000003</v>
      </c>
      <c r="S229" s="4">
        <v>0.5</v>
      </c>
      <c r="T229" s="4">
        <v>0.55100000000000005</v>
      </c>
      <c r="U229" s="19">
        <f>Table2[[#This Row],[NET PF]]/Table2[[#This Row],[HOME GAMES]]</f>
        <v>-2.1556886227544911</v>
      </c>
      <c r="V229" s="28">
        <f>393/Table2[[#This Row],[AWAY GAMES]]</f>
        <v>3.8155339805825244</v>
      </c>
      <c r="W229" s="4">
        <v>0.72499999999999998</v>
      </c>
      <c r="X229" s="4">
        <v>0.71599999999999997</v>
      </c>
      <c r="Y229" s="2">
        <v>-360</v>
      </c>
      <c r="Z229" s="2">
        <v>135</v>
      </c>
      <c r="AA229" s="8">
        <f>Table2[[#This Row],[HOME MARGIN]]/Table2[[#This Row],[HOME GAMES]]</f>
        <v>13.167664670658683</v>
      </c>
      <c r="AB229" s="8">
        <f>Table2[[#This Row],[AWAY MARGIN]]/Table2[[#This Row],[AWAY GAMES]]</f>
        <v>-0.82524271844660191</v>
      </c>
      <c r="AC229" s="8">
        <f>Table2[[#This Row],[HOME MARGIN/GAME]]-Table2[[#This Row],[AWAY MARGIN/GAME]]</f>
        <v>13.992907389105284</v>
      </c>
      <c r="AD229" s="23">
        <f>Table2[[#This Row],[HOME W/L%]]-Table2[[#This Row],[AWAY W/L%]]</f>
        <v>0.30999999999999994</v>
      </c>
      <c r="AE229" s="22"/>
      <c r="AF229"/>
    </row>
    <row r="230" spans="1:32" hidden="1" x14ac:dyDescent="0.2">
      <c r="A230" s="1">
        <v>239</v>
      </c>
      <c r="B230" s="1"/>
      <c r="C230" s="2" t="s">
        <v>331</v>
      </c>
      <c r="D230" s="2" t="str">
        <f>IF(COUNTIF($AG$3:$AG$20,C230)&gt;0,$AG$2,
 IF(COUNTIF($AH$3:$AH$20,C230)&gt;0,$AH$2,
 IF(COUNTIF($AI$3:$AI$20,C230)&gt;0,$AI$2,
 IF(COUNTIF($AJ$3:$AJ$20,C230)&gt;0,$AJ$2,
 IF(COUNTIF($AK$3:$AK$20,C230)&gt;0,$AK$2,
 IF(COUNTIF($AL$3:$AL$20,C230)&gt;0,$AL$2,
 IF(COUNTIF($AM$3:$AM$20,C230)&gt;0,$AM$2,"Not Found")))))))</f>
        <v>Not Found</v>
      </c>
      <c r="E230" s="2" t="s">
        <v>10</v>
      </c>
      <c r="F230" s="2" t="s">
        <v>11</v>
      </c>
      <c r="G230" s="2">
        <v>163</v>
      </c>
      <c r="H230" s="2">
        <v>767</v>
      </c>
      <c r="I230" s="2">
        <v>109</v>
      </c>
      <c r="J230" s="2">
        <v>-900</v>
      </c>
      <c r="K230" s="4">
        <v>0.62</v>
      </c>
      <c r="L230" s="4">
        <v>0.21099999999999999</v>
      </c>
      <c r="M230" s="2">
        <v>105.9</v>
      </c>
      <c r="N230" s="2">
        <v>97.5</v>
      </c>
      <c r="O230" s="2">
        <v>99.1</v>
      </c>
      <c r="P230" s="2">
        <v>109.8</v>
      </c>
      <c r="Q230" s="4">
        <v>0.56000000000000005</v>
      </c>
      <c r="R230" s="4">
        <v>0.52200000000000002</v>
      </c>
      <c r="S230" s="4">
        <v>0.52400000000000002</v>
      </c>
      <c r="T230" s="4">
        <v>0.56699999999999995</v>
      </c>
      <c r="U230" s="19">
        <f>Table2[[#This Row],[NET PF]]/Table2[[#This Row],[HOME GAMES]]</f>
        <v>-1.9202453987730062</v>
      </c>
      <c r="V230" s="28">
        <f>393/Table2[[#This Row],[AWAY GAMES]]</f>
        <v>3.6055045871559632</v>
      </c>
      <c r="W230" s="4">
        <v>0.71</v>
      </c>
      <c r="X230" s="4">
        <v>0.72199999999999998</v>
      </c>
      <c r="Y230" s="2">
        <v>-313</v>
      </c>
      <c r="Z230" s="2">
        <v>278</v>
      </c>
      <c r="AA230" s="8">
        <f>Table2[[#This Row],[HOME MARGIN]]/Table2[[#This Row],[HOME GAMES]]</f>
        <v>4.705521472392638</v>
      </c>
      <c r="AB230" s="8">
        <f>Table2[[#This Row],[AWAY MARGIN]]/Table2[[#This Row],[AWAY GAMES]]</f>
        <v>-8.2568807339449535</v>
      </c>
      <c r="AC230" s="8">
        <f>Table2[[#This Row],[HOME MARGIN/GAME]]-Table2[[#This Row],[AWAY MARGIN/GAME]]</f>
        <v>12.962402206337591</v>
      </c>
      <c r="AD230" s="23">
        <f>Table2[[#This Row],[HOME W/L%]]-Table2[[#This Row],[AWAY W/L%]]</f>
        <v>0.40900000000000003</v>
      </c>
      <c r="AE230" s="22"/>
      <c r="AF230"/>
    </row>
    <row r="231" spans="1:32" hidden="1" x14ac:dyDescent="0.2">
      <c r="A231" s="1">
        <v>347</v>
      </c>
      <c r="B231" s="1"/>
      <c r="C231" s="2" t="s">
        <v>280</v>
      </c>
      <c r="D231" s="2" t="str">
        <f>IF(COUNTIF($AG$3:$AG$20,C231)&gt;0,$AG$2,
 IF(COUNTIF($AH$3:$AH$20,C231)&gt;0,$AH$2,
 IF(COUNTIF($AI$3:$AI$20,C231)&gt;0,$AI$2,
 IF(COUNTIF($AJ$3:$AJ$20,C231)&gt;0,$AJ$2,
 IF(COUNTIF($AK$3:$AK$20,C231)&gt;0,$AK$2,
 IF(COUNTIF($AL$3:$AL$20,C231)&gt;0,$AL$2,
 IF(COUNTIF($AM$3:$AM$20,C231)&gt;0,$AM$2,"Not Found")))))))</f>
        <v>Not Found</v>
      </c>
      <c r="E231" s="2" t="s">
        <v>10</v>
      </c>
      <c r="F231" s="2" t="s">
        <v>11</v>
      </c>
      <c r="G231" s="2">
        <v>151</v>
      </c>
      <c r="H231" s="2">
        <v>114</v>
      </c>
      <c r="I231" s="2">
        <v>134</v>
      </c>
      <c r="J231" s="2">
        <v>-1206</v>
      </c>
      <c r="K231" s="4">
        <v>0.503</v>
      </c>
      <c r="L231" s="4">
        <v>0.26100000000000001</v>
      </c>
      <c r="M231" s="2">
        <v>102.6</v>
      </c>
      <c r="N231" s="2">
        <v>95.2</v>
      </c>
      <c r="O231" s="2">
        <v>101.5</v>
      </c>
      <c r="P231" s="2">
        <v>108.1</v>
      </c>
      <c r="Q231" s="4">
        <v>0.53700000000000003</v>
      </c>
      <c r="R231" s="4">
        <v>0.505</v>
      </c>
      <c r="S231" s="4">
        <v>0.54700000000000004</v>
      </c>
      <c r="T231" s="4">
        <v>0.56999999999999995</v>
      </c>
      <c r="U231" s="19">
        <f>Table2[[#This Row],[NET PF]]/Table2[[#This Row],[HOME GAMES]]</f>
        <v>-0.69536423841059603</v>
      </c>
      <c r="V231" s="28">
        <f>393/Table2[[#This Row],[AWAY GAMES]]</f>
        <v>2.9328358208955225</v>
      </c>
      <c r="W231" s="4">
        <v>0.70399999999999996</v>
      </c>
      <c r="X231" s="4">
        <v>0.73099999999999998</v>
      </c>
      <c r="Y231" s="2">
        <v>-105</v>
      </c>
      <c r="Z231" s="2">
        <v>238</v>
      </c>
      <c r="AA231" s="8">
        <f>Table2[[#This Row],[HOME MARGIN]]/Table2[[#This Row],[HOME GAMES]]</f>
        <v>0.75496688741721851</v>
      </c>
      <c r="AB231" s="8">
        <f>Table2[[#This Row],[AWAY MARGIN]]/Table2[[#This Row],[AWAY GAMES]]</f>
        <v>-9</v>
      </c>
      <c r="AC231" s="8">
        <f>Table2[[#This Row],[HOME MARGIN/GAME]]-Table2[[#This Row],[AWAY MARGIN/GAME]]</f>
        <v>9.7549668874172184</v>
      </c>
      <c r="AD231" s="23">
        <f>Table2[[#This Row],[HOME W/L%]]-Table2[[#This Row],[AWAY W/L%]]</f>
        <v>0.24199999999999999</v>
      </c>
      <c r="AE231" s="22"/>
      <c r="AF231"/>
    </row>
    <row r="232" spans="1:32" x14ac:dyDescent="0.2">
      <c r="A232" s="1">
        <v>151</v>
      </c>
      <c r="B232" s="1">
        <v>57</v>
      </c>
      <c r="C232" s="2" t="s">
        <v>183</v>
      </c>
      <c r="D232" s="2" t="str">
        <f>IF(COUNTIF($AG$3:$AG$20,C232)&gt;0,$AG$2,
 IF(COUNTIF($AH$3:$AH$20,C232)&gt;0,$AH$2,
 IF(COUNTIF($AI$3:$AI$20,C232)&gt;0,$AI$2,
 IF(COUNTIF($AJ$3:$AJ$20,C232)&gt;0,$AJ$2,
 IF(COUNTIF($AK$3:$AK$20,C232)&gt;0,$AK$2,
 IF(COUNTIF($AL$3:$AL$20,C232)&gt;0,$AL$2,
 IF(COUNTIF($AM$3:$AM$20,C232)&gt;0,$AM$2,"Not Found")))))))</f>
        <v>Big 10</v>
      </c>
      <c r="E232" s="2" t="s">
        <v>10</v>
      </c>
      <c r="F232" s="2" t="s">
        <v>11</v>
      </c>
      <c r="G232" s="2">
        <v>159</v>
      </c>
      <c r="H232" s="2">
        <v>1247</v>
      </c>
      <c r="I232" s="2">
        <v>110</v>
      </c>
      <c r="J232" s="2">
        <v>-559</v>
      </c>
      <c r="K232" s="4">
        <v>0.69799999999999995</v>
      </c>
      <c r="L232" s="4">
        <v>0.29099999999999998</v>
      </c>
      <c r="M232" s="2">
        <v>107</v>
      </c>
      <c r="N232" s="2">
        <v>97.7</v>
      </c>
      <c r="O232" s="2">
        <v>95.9</v>
      </c>
      <c r="P232" s="2">
        <v>105</v>
      </c>
      <c r="Q232" s="4">
        <v>0.55300000000000005</v>
      </c>
      <c r="R232" s="4">
        <v>0.51400000000000001</v>
      </c>
      <c r="S232" s="4">
        <v>0.51600000000000001</v>
      </c>
      <c r="T232" s="4">
        <v>0.54900000000000004</v>
      </c>
      <c r="U232" s="19">
        <f>Table2[[#This Row],[NET PF]]/Table2[[#This Row],[HOME GAMES]]</f>
        <v>-1.4528301886792452</v>
      </c>
      <c r="V232" s="28">
        <f>393/Table2[[#This Row],[AWAY GAMES]]</f>
        <v>3.5727272727272728</v>
      </c>
      <c r="W232" s="4">
        <v>0.71499999999999997</v>
      </c>
      <c r="X232" s="4">
        <v>0.71899999999999997</v>
      </c>
      <c r="Y232" s="2">
        <v>-231</v>
      </c>
      <c r="Z232" s="2">
        <v>326</v>
      </c>
      <c r="AA232" s="8">
        <f>Table2[[#This Row],[HOME MARGIN]]/Table2[[#This Row],[HOME GAMES]]</f>
        <v>7.8427672955974845</v>
      </c>
      <c r="AB232" s="8">
        <f>Table2[[#This Row],[AWAY MARGIN]]/Table2[[#This Row],[AWAY GAMES]]</f>
        <v>-5.081818181818182</v>
      </c>
      <c r="AC232" s="8">
        <f>Table2[[#This Row],[HOME MARGIN/GAME]]-Table2[[#This Row],[AWAY MARGIN/GAME]]</f>
        <v>12.924585477415667</v>
      </c>
      <c r="AD232" s="23">
        <f>Table2[[#This Row],[HOME W/L%]]-Table2[[#This Row],[AWAY W/L%]]</f>
        <v>0.40699999999999997</v>
      </c>
      <c r="AE232" s="22"/>
      <c r="AF232"/>
    </row>
    <row r="233" spans="1:32" hidden="1" x14ac:dyDescent="0.2">
      <c r="A233" s="1">
        <v>260</v>
      </c>
      <c r="B233" s="1"/>
      <c r="C233" s="2" t="s">
        <v>160</v>
      </c>
      <c r="D233" s="2" t="str">
        <f>IF(COUNTIF($AG$3:$AG$20,C233)&gt;0,$AG$2,
 IF(COUNTIF($AH$3:$AH$20,C233)&gt;0,$AH$2,
 IF(COUNTIF($AI$3:$AI$20,C233)&gt;0,$AI$2,
 IF(COUNTIF($AJ$3:$AJ$20,C233)&gt;0,$AJ$2,
 IF(COUNTIF($AK$3:$AK$20,C233)&gt;0,$AK$2,
 IF(COUNTIF($AL$3:$AL$20,C233)&gt;0,$AL$2,
 IF(COUNTIF($AM$3:$AM$20,C233)&gt;0,$AM$2,"Not Found")))))))</f>
        <v>Not Found</v>
      </c>
      <c r="E233" s="2" t="s">
        <v>10</v>
      </c>
      <c r="F233" s="2" t="s">
        <v>11</v>
      </c>
      <c r="G233" s="2">
        <v>118</v>
      </c>
      <c r="H233" s="2">
        <v>694</v>
      </c>
      <c r="I233" s="2">
        <v>121</v>
      </c>
      <c r="J233" s="2">
        <v>-468</v>
      </c>
      <c r="K233" s="4">
        <v>0.63600000000000001</v>
      </c>
      <c r="L233" s="4">
        <v>0.39700000000000002</v>
      </c>
      <c r="M233" s="2">
        <v>106.6</v>
      </c>
      <c r="N233" s="2">
        <v>98.8</v>
      </c>
      <c r="O233" s="2">
        <v>98.3</v>
      </c>
      <c r="P233" s="2">
        <v>104.3</v>
      </c>
      <c r="Q233" s="4">
        <v>0.55900000000000005</v>
      </c>
      <c r="R233" s="4">
        <v>0.52800000000000002</v>
      </c>
      <c r="S233" s="4">
        <v>0.51700000000000002</v>
      </c>
      <c r="T233" s="4">
        <v>0.53600000000000003</v>
      </c>
      <c r="U233" s="19">
        <f>Table2[[#This Row],[NET PF]]/Table2[[#This Row],[HOME GAMES]]</f>
        <v>-0.27966101694915252</v>
      </c>
      <c r="V233" s="28">
        <f>393/Table2[[#This Row],[AWAY GAMES]]</f>
        <v>3.2479338842975207</v>
      </c>
      <c r="W233" s="4">
        <v>0.70499999999999996</v>
      </c>
      <c r="X233" s="4">
        <v>0.71199999999999997</v>
      </c>
      <c r="Y233" s="2">
        <v>-33</v>
      </c>
      <c r="Z233" s="2">
        <v>123</v>
      </c>
      <c r="AA233" s="8">
        <f>Table2[[#This Row],[HOME MARGIN]]/Table2[[#This Row],[HOME GAMES]]</f>
        <v>5.8813559322033901</v>
      </c>
      <c r="AB233" s="8">
        <f>Table2[[#This Row],[AWAY MARGIN]]/Table2[[#This Row],[AWAY GAMES]]</f>
        <v>-3.8677685950413223</v>
      </c>
      <c r="AC233" s="8">
        <f>Table2[[#This Row],[HOME MARGIN/GAME]]-Table2[[#This Row],[AWAY MARGIN/GAME]]</f>
        <v>9.749124527244712</v>
      </c>
      <c r="AD233" s="23">
        <f>Table2[[#This Row],[HOME W/L%]]-Table2[[#This Row],[AWAY W/L%]]</f>
        <v>0.23899999999999999</v>
      </c>
      <c r="AE233" s="22"/>
      <c r="AF233"/>
    </row>
    <row r="234" spans="1:32" hidden="1" x14ac:dyDescent="0.2">
      <c r="A234" s="1">
        <v>320</v>
      </c>
      <c r="B234" s="1"/>
      <c r="C234" s="2" t="s">
        <v>270</v>
      </c>
      <c r="D234" s="2" t="str">
        <f>IF(COUNTIF($AG$3:$AG$20,C234)&gt;0,$AG$2,
 IF(COUNTIF($AH$3:$AH$20,C234)&gt;0,$AH$2,
 IF(COUNTIF($AI$3:$AI$20,C234)&gt;0,$AI$2,
 IF(COUNTIF($AJ$3:$AJ$20,C234)&gt;0,$AJ$2,
 IF(COUNTIF($AK$3:$AK$20,C234)&gt;0,$AK$2,
 IF(COUNTIF($AL$3:$AL$20,C234)&gt;0,$AL$2,
 IF(COUNTIF($AM$3:$AM$20,C234)&gt;0,$AM$2,"Not Found")))))))</f>
        <v>Not Found</v>
      </c>
      <c r="E234" s="2" t="s">
        <v>10</v>
      </c>
      <c r="F234" s="2" t="s">
        <v>11</v>
      </c>
      <c r="G234" s="2">
        <v>148</v>
      </c>
      <c r="H234" s="2">
        <v>323</v>
      </c>
      <c r="I234" s="2">
        <v>123</v>
      </c>
      <c r="J234" s="2">
        <v>-1273</v>
      </c>
      <c r="K234" s="4">
        <v>0.52700000000000002</v>
      </c>
      <c r="L234" s="4">
        <v>0.187</v>
      </c>
      <c r="M234" s="2">
        <v>104.7</v>
      </c>
      <c r="N234" s="2">
        <v>98.1</v>
      </c>
      <c r="O234" s="2">
        <v>101.6</v>
      </c>
      <c r="P234" s="2">
        <v>112.5</v>
      </c>
      <c r="Q234" s="4">
        <v>0.54600000000000004</v>
      </c>
      <c r="R234" s="4">
        <v>0.52400000000000002</v>
      </c>
      <c r="S234" s="4">
        <v>0.54100000000000004</v>
      </c>
      <c r="T234" s="4">
        <v>0.58199999999999996</v>
      </c>
      <c r="U234" s="19">
        <f>Table2[[#This Row],[NET PF]]/Table2[[#This Row],[HOME GAMES]]</f>
        <v>-1.8648648648648649</v>
      </c>
      <c r="V234" s="28">
        <f>393/Table2[[#This Row],[AWAY GAMES]]</f>
        <v>3.1951219512195124</v>
      </c>
      <c r="W234" s="4">
        <v>0.71099999999999997</v>
      </c>
      <c r="X234" s="4">
        <v>0.72399999999999998</v>
      </c>
      <c r="Y234" s="2">
        <v>-276</v>
      </c>
      <c r="Z234" s="2">
        <v>-26</v>
      </c>
      <c r="AA234" s="8">
        <f>Table2[[#This Row],[HOME MARGIN]]/Table2[[#This Row],[HOME GAMES]]</f>
        <v>2.1824324324324325</v>
      </c>
      <c r="AB234" s="8">
        <f>Table2[[#This Row],[AWAY MARGIN]]/Table2[[#This Row],[AWAY GAMES]]</f>
        <v>-10.349593495934959</v>
      </c>
      <c r="AC234" s="8">
        <f>Table2[[#This Row],[HOME MARGIN/GAME]]-Table2[[#This Row],[AWAY MARGIN/GAME]]</f>
        <v>12.532025928367393</v>
      </c>
      <c r="AD234" s="23">
        <f>Table2[[#This Row],[HOME W/L%]]-Table2[[#This Row],[AWAY W/L%]]</f>
        <v>0.34</v>
      </c>
      <c r="AE234" s="22"/>
      <c r="AF234"/>
    </row>
    <row r="235" spans="1:32" x14ac:dyDescent="0.2">
      <c r="A235" s="1">
        <v>199</v>
      </c>
      <c r="B235" s="1">
        <v>70</v>
      </c>
      <c r="C235" s="2" t="s">
        <v>210</v>
      </c>
      <c r="D235" s="2" t="str">
        <f>IF(COUNTIF($AG$3:$AG$20,C235)&gt;0,$AG$2,
 IF(COUNTIF($AH$3:$AH$20,C235)&gt;0,$AH$2,
 IF(COUNTIF($AI$3:$AI$20,C235)&gt;0,$AI$2,
 IF(COUNTIF($AJ$3:$AJ$20,C235)&gt;0,$AJ$2,
 IF(COUNTIF($AK$3:$AK$20,C235)&gt;0,$AK$2,
 IF(COUNTIF($AL$3:$AL$20,C235)&gt;0,$AL$2,
 IF(COUNTIF($AM$3:$AM$20,C235)&gt;0,$AM$2,"Not Found")))))))</f>
        <v>ACC</v>
      </c>
      <c r="E235" s="2" t="s">
        <v>10</v>
      </c>
      <c r="F235" s="2" t="s">
        <v>11</v>
      </c>
      <c r="G235" s="2">
        <v>174</v>
      </c>
      <c r="H235" s="2">
        <v>988</v>
      </c>
      <c r="I235" s="2">
        <v>106</v>
      </c>
      <c r="J235" s="2">
        <v>-627</v>
      </c>
      <c r="K235" s="4">
        <v>0.63200000000000001</v>
      </c>
      <c r="L235" s="4">
        <v>0.28299999999999997</v>
      </c>
      <c r="M235" s="2">
        <v>107</v>
      </c>
      <c r="N235" s="2">
        <v>98.2</v>
      </c>
      <c r="O235" s="2">
        <v>98.7</v>
      </c>
      <c r="P235" s="2">
        <v>107</v>
      </c>
      <c r="Q235" s="4">
        <v>0.54900000000000004</v>
      </c>
      <c r="R235" s="4">
        <v>0.51400000000000001</v>
      </c>
      <c r="S235" s="4">
        <v>0.51500000000000001</v>
      </c>
      <c r="T235" s="4">
        <v>0.55900000000000005</v>
      </c>
      <c r="U235" s="19">
        <f>Table2[[#This Row],[NET PF]]/Table2[[#This Row],[HOME GAMES]]</f>
        <v>-2.9022988505747125</v>
      </c>
      <c r="V235" s="28">
        <f>393/Table2[[#This Row],[AWAY GAMES]]</f>
        <v>3.7075471698113209</v>
      </c>
      <c r="W235" s="4">
        <v>0.70499999999999996</v>
      </c>
      <c r="X235" s="4">
        <v>0.71899999999999997</v>
      </c>
      <c r="Y235" s="2">
        <v>-505</v>
      </c>
      <c r="Z235" s="2">
        <v>75</v>
      </c>
      <c r="AA235" s="8">
        <f>Table2[[#This Row],[HOME MARGIN]]/Table2[[#This Row],[HOME GAMES]]</f>
        <v>5.6781609195402298</v>
      </c>
      <c r="AB235" s="8">
        <f>Table2[[#This Row],[AWAY MARGIN]]/Table2[[#This Row],[AWAY GAMES]]</f>
        <v>-5.9150943396226419</v>
      </c>
      <c r="AC235" s="8">
        <f>Table2[[#This Row],[HOME MARGIN/GAME]]-Table2[[#This Row],[AWAY MARGIN/GAME]]</f>
        <v>11.593255259162872</v>
      </c>
      <c r="AD235" s="23">
        <f>Table2[[#This Row],[HOME W/L%]]-Table2[[#This Row],[AWAY W/L%]]</f>
        <v>0.34900000000000003</v>
      </c>
      <c r="AE235" s="22"/>
      <c r="AF235"/>
    </row>
    <row r="236" spans="1:32" hidden="1" x14ac:dyDescent="0.2">
      <c r="A236" s="1">
        <v>358</v>
      </c>
      <c r="B236" s="1"/>
      <c r="C236" s="2" t="s">
        <v>273</v>
      </c>
      <c r="D236" s="2" t="str">
        <f>IF(COUNTIF($AG$3:$AG$20,C236)&gt;0,$AG$2,
 IF(COUNTIF($AH$3:$AH$20,C236)&gt;0,$AH$2,
 IF(COUNTIF($AI$3:$AI$20,C236)&gt;0,$AI$2,
 IF(COUNTIF($AJ$3:$AJ$20,C236)&gt;0,$AJ$2,
 IF(COUNTIF($AK$3:$AK$20,C236)&gt;0,$AK$2,
 IF(COUNTIF($AL$3:$AL$20,C236)&gt;0,$AL$2,
 IF(COUNTIF($AM$3:$AM$20,C236)&gt;0,$AM$2,"Not Found")))))))</f>
        <v>Not Found</v>
      </c>
      <c r="E236" s="2" t="s">
        <v>10</v>
      </c>
      <c r="F236" s="2" t="s">
        <v>11</v>
      </c>
      <c r="G236" s="2">
        <v>154</v>
      </c>
      <c r="H236" s="2">
        <v>-30</v>
      </c>
      <c r="I236" s="2">
        <v>117</v>
      </c>
      <c r="J236" s="2">
        <v>-1258</v>
      </c>
      <c r="K236" s="4">
        <v>0.49399999999999999</v>
      </c>
      <c r="L236" s="4">
        <v>0.214</v>
      </c>
      <c r="M236" s="2">
        <v>102.2</v>
      </c>
      <c r="N236" s="2">
        <v>95.2</v>
      </c>
      <c r="O236" s="2">
        <v>102.4</v>
      </c>
      <c r="P236" s="2">
        <v>110.3</v>
      </c>
      <c r="Q236" s="4">
        <v>0.55600000000000005</v>
      </c>
      <c r="R236" s="4">
        <v>0.52</v>
      </c>
      <c r="S236" s="4">
        <v>0.53500000000000003</v>
      </c>
      <c r="T236" s="4">
        <v>0.56200000000000006</v>
      </c>
      <c r="U236" s="19">
        <f>Table2[[#This Row],[NET PF]]/Table2[[#This Row],[HOME GAMES]]</f>
        <v>-2.5129870129870131</v>
      </c>
      <c r="V236" s="28">
        <f>393/Table2[[#This Row],[AWAY GAMES]]</f>
        <v>3.358974358974359</v>
      </c>
      <c r="W236" s="4">
        <v>0.7</v>
      </c>
      <c r="X236" s="4">
        <v>0.70499999999999996</v>
      </c>
      <c r="Y236" s="2">
        <v>-387</v>
      </c>
      <c r="Z236" s="2">
        <v>-146</v>
      </c>
      <c r="AA236" s="8">
        <f>Table2[[#This Row],[HOME MARGIN]]/Table2[[#This Row],[HOME GAMES]]</f>
        <v>-0.19480519480519481</v>
      </c>
      <c r="AB236" s="8">
        <f>Table2[[#This Row],[AWAY MARGIN]]/Table2[[#This Row],[AWAY GAMES]]</f>
        <v>-10.752136752136753</v>
      </c>
      <c r="AC236" s="8">
        <f>Table2[[#This Row],[HOME MARGIN/GAME]]-Table2[[#This Row],[AWAY MARGIN/GAME]]</f>
        <v>10.557331557331558</v>
      </c>
      <c r="AD236" s="23">
        <f>Table2[[#This Row],[HOME W/L%]]-Table2[[#This Row],[AWAY W/L%]]</f>
        <v>0.28000000000000003</v>
      </c>
      <c r="AE236" s="22"/>
      <c r="AF236"/>
    </row>
    <row r="237" spans="1:32" hidden="1" x14ac:dyDescent="0.2">
      <c r="A237" s="1">
        <v>110</v>
      </c>
      <c r="B237" s="1"/>
      <c r="C237" s="2" t="s">
        <v>196</v>
      </c>
      <c r="D237" s="2" t="str">
        <f>IF(COUNTIF($AG$3:$AG$20,C237)&gt;0,$AG$2,
 IF(COUNTIF($AH$3:$AH$20,C237)&gt;0,$AH$2,
 IF(COUNTIF($AI$3:$AI$20,C237)&gt;0,$AI$2,
 IF(COUNTIF($AJ$3:$AJ$20,C237)&gt;0,$AJ$2,
 IF(COUNTIF($AK$3:$AK$20,C237)&gt;0,$AK$2,
 IF(COUNTIF($AL$3:$AL$20,C237)&gt;0,$AL$2,
 IF(COUNTIF($AM$3:$AM$20,C237)&gt;0,$AM$2,"Not Found")))))))</f>
        <v>Not Found</v>
      </c>
      <c r="E237" s="2" t="s">
        <v>10</v>
      </c>
      <c r="F237" s="2" t="s">
        <v>11</v>
      </c>
      <c r="G237" s="2">
        <v>137</v>
      </c>
      <c r="H237" s="2">
        <v>1455</v>
      </c>
      <c r="I237" s="2">
        <v>143</v>
      </c>
      <c r="J237" s="2">
        <v>-594</v>
      </c>
      <c r="K237" s="4">
        <v>0.67900000000000005</v>
      </c>
      <c r="L237" s="4">
        <v>0.34300000000000003</v>
      </c>
      <c r="M237" s="2">
        <v>108.9</v>
      </c>
      <c r="N237" s="2">
        <v>99.9</v>
      </c>
      <c r="O237" s="2">
        <v>94.6</v>
      </c>
      <c r="P237" s="2">
        <v>105.5</v>
      </c>
      <c r="Q237" s="4">
        <v>0.55400000000000005</v>
      </c>
      <c r="R237" s="4">
        <v>0.51500000000000001</v>
      </c>
      <c r="S237" s="4">
        <v>0.53</v>
      </c>
      <c r="T237" s="4">
        <v>0.57499999999999996</v>
      </c>
      <c r="U237" s="19">
        <f>Table2[[#This Row],[NET PF]]/Table2[[#This Row],[HOME GAMES]]</f>
        <v>0.21897810218978103</v>
      </c>
      <c r="V237" s="28">
        <f>393/Table2[[#This Row],[AWAY GAMES]]</f>
        <v>2.7482517482517483</v>
      </c>
      <c r="W237" s="4">
        <v>0.69799999999999995</v>
      </c>
      <c r="X237" s="4">
        <v>0.71899999999999997</v>
      </c>
      <c r="Y237" s="2">
        <v>30</v>
      </c>
      <c r="Z237" s="2">
        <v>222</v>
      </c>
      <c r="AA237" s="8">
        <f>Table2[[#This Row],[HOME MARGIN]]/Table2[[#This Row],[HOME GAMES]]</f>
        <v>10.620437956204379</v>
      </c>
      <c r="AB237" s="8">
        <f>Table2[[#This Row],[AWAY MARGIN]]/Table2[[#This Row],[AWAY GAMES]]</f>
        <v>-4.1538461538461542</v>
      </c>
      <c r="AC237" s="8">
        <f>Table2[[#This Row],[HOME MARGIN/GAME]]-Table2[[#This Row],[AWAY MARGIN/GAME]]</f>
        <v>14.774284110050534</v>
      </c>
      <c r="AD237" s="23">
        <f>Table2[[#This Row],[HOME W/L%]]-Table2[[#This Row],[AWAY W/L%]]</f>
        <v>0.33600000000000002</v>
      </c>
      <c r="AE237" s="22"/>
      <c r="AF237"/>
    </row>
    <row r="238" spans="1:32" hidden="1" x14ac:dyDescent="0.2">
      <c r="A238" s="1">
        <v>244</v>
      </c>
      <c r="B238" s="1"/>
      <c r="C238" s="2" t="s">
        <v>238</v>
      </c>
      <c r="D238" s="2" t="str">
        <f>IF(COUNTIF($AG$3:$AG$20,C238)&gt;0,$AG$2,
 IF(COUNTIF($AH$3:$AH$20,C238)&gt;0,$AH$2,
 IF(COUNTIF($AI$3:$AI$20,C238)&gt;0,$AI$2,
 IF(COUNTIF($AJ$3:$AJ$20,C238)&gt;0,$AJ$2,
 IF(COUNTIF($AK$3:$AK$20,C238)&gt;0,$AK$2,
 IF(COUNTIF($AL$3:$AL$20,C238)&gt;0,$AL$2,
 IF(COUNTIF($AM$3:$AM$20,C238)&gt;0,$AM$2,"Not Found")))))))</f>
        <v>Not Found</v>
      </c>
      <c r="E238" s="2" t="s">
        <v>10</v>
      </c>
      <c r="F238" s="2" t="s">
        <v>11</v>
      </c>
      <c r="G238" s="2">
        <v>104</v>
      </c>
      <c r="H238" s="2">
        <v>754</v>
      </c>
      <c r="I238" s="2">
        <v>180</v>
      </c>
      <c r="J238" s="2">
        <v>-1708</v>
      </c>
      <c r="K238" s="4">
        <v>0.71199999999999997</v>
      </c>
      <c r="L238" s="4">
        <v>0.24399999999999999</v>
      </c>
      <c r="M238" s="2">
        <v>104</v>
      </c>
      <c r="N238" s="2">
        <v>92.7</v>
      </c>
      <c r="O238" s="2">
        <v>93.9</v>
      </c>
      <c r="P238" s="2">
        <v>105.8</v>
      </c>
      <c r="Q238" s="4">
        <v>0.55100000000000005</v>
      </c>
      <c r="R238" s="4">
        <v>0.49399999999999999</v>
      </c>
      <c r="S238" s="4">
        <v>0.52900000000000003</v>
      </c>
      <c r="T238" s="4">
        <v>0.56899999999999995</v>
      </c>
      <c r="U238" s="19">
        <f>Table2[[#This Row],[NET PF]]/Table2[[#This Row],[HOME GAMES]]</f>
        <v>0.48076923076923078</v>
      </c>
      <c r="V238" s="28">
        <f>393/Table2[[#This Row],[AWAY GAMES]]</f>
        <v>2.1833333333333331</v>
      </c>
      <c r="W238" s="4">
        <v>0.66</v>
      </c>
      <c r="X238" s="4">
        <v>0.70499999999999996</v>
      </c>
      <c r="Y238" s="2">
        <v>50</v>
      </c>
      <c r="Z238" s="2">
        <v>520</v>
      </c>
      <c r="AA238" s="8">
        <f>Table2[[#This Row],[HOME MARGIN]]/Table2[[#This Row],[HOME GAMES]]</f>
        <v>7.25</v>
      </c>
      <c r="AB238" s="8">
        <f>Table2[[#This Row],[AWAY MARGIN]]/Table2[[#This Row],[AWAY GAMES]]</f>
        <v>-9.4888888888888889</v>
      </c>
      <c r="AC238" s="8">
        <f>Table2[[#This Row],[HOME MARGIN/GAME]]-Table2[[#This Row],[AWAY MARGIN/GAME]]</f>
        <v>16.738888888888887</v>
      </c>
      <c r="AD238" s="23">
        <f>Table2[[#This Row],[HOME W/L%]]-Table2[[#This Row],[AWAY W/L%]]</f>
        <v>0.46799999999999997</v>
      </c>
      <c r="AE238" s="22"/>
      <c r="AF238"/>
    </row>
    <row r="239" spans="1:32" hidden="1" x14ac:dyDescent="0.2">
      <c r="A239" s="1">
        <v>259</v>
      </c>
      <c r="B239" s="1"/>
      <c r="C239" s="2" t="s">
        <v>254</v>
      </c>
      <c r="D239" s="2" t="str">
        <f>IF(COUNTIF($AG$3:$AG$20,C239)&gt;0,$AG$2,
 IF(COUNTIF($AH$3:$AH$20,C239)&gt;0,$AH$2,
 IF(COUNTIF($AI$3:$AI$20,C239)&gt;0,$AI$2,
 IF(COUNTIF($AJ$3:$AJ$20,C239)&gt;0,$AJ$2,
 IF(COUNTIF($AK$3:$AK$20,C239)&gt;0,$AK$2,
 IF(COUNTIF($AL$3:$AL$20,C239)&gt;0,$AL$2,
 IF(COUNTIF($AM$3:$AM$20,C239)&gt;0,$AM$2,"Not Found")))))))</f>
        <v>Not Found</v>
      </c>
      <c r="E239" s="2" t="s">
        <v>10</v>
      </c>
      <c r="F239" s="2" t="s">
        <v>11</v>
      </c>
      <c r="G239" s="2">
        <v>138</v>
      </c>
      <c r="H239" s="2">
        <v>696</v>
      </c>
      <c r="I239" s="2">
        <v>147</v>
      </c>
      <c r="J239" s="2">
        <v>-1457</v>
      </c>
      <c r="K239" s="4">
        <v>0.51400000000000001</v>
      </c>
      <c r="L239" s="4">
        <v>0.19</v>
      </c>
      <c r="M239" s="2">
        <v>106.4</v>
      </c>
      <c r="N239" s="2">
        <v>93.8</v>
      </c>
      <c r="O239" s="2">
        <v>99.2</v>
      </c>
      <c r="P239" s="2">
        <v>108.4</v>
      </c>
      <c r="Q239" s="4">
        <v>0.55800000000000005</v>
      </c>
      <c r="R239" s="4">
        <v>0.504</v>
      </c>
      <c r="S239" s="4">
        <v>0.54600000000000004</v>
      </c>
      <c r="T239" s="4">
        <v>0.56899999999999995</v>
      </c>
      <c r="U239" s="19">
        <f>Table2[[#This Row],[NET PF]]/Table2[[#This Row],[HOME GAMES]]</f>
        <v>-0.39130434782608697</v>
      </c>
      <c r="V239" s="28">
        <f>393/Table2[[#This Row],[AWAY GAMES]]</f>
        <v>2.6734693877551021</v>
      </c>
      <c r="W239" s="4">
        <v>0.69899999999999995</v>
      </c>
      <c r="X239" s="4">
        <v>0.70099999999999996</v>
      </c>
      <c r="Y239" s="2">
        <v>-54</v>
      </c>
      <c r="Z239" s="2">
        <v>286</v>
      </c>
      <c r="AA239" s="8">
        <f>Table2[[#This Row],[HOME MARGIN]]/Table2[[#This Row],[HOME GAMES]]</f>
        <v>5.0434782608695654</v>
      </c>
      <c r="AB239" s="8">
        <f>Table2[[#This Row],[AWAY MARGIN]]/Table2[[#This Row],[AWAY GAMES]]</f>
        <v>-9.9115646258503407</v>
      </c>
      <c r="AC239" s="8">
        <f>Table2[[#This Row],[HOME MARGIN/GAME]]-Table2[[#This Row],[AWAY MARGIN/GAME]]</f>
        <v>14.955042886719905</v>
      </c>
      <c r="AD239" s="23">
        <f>Table2[[#This Row],[HOME W/L%]]-Table2[[#This Row],[AWAY W/L%]]</f>
        <v>0.32400000000000001</v>
      </c>
      <c r="AE239" s="22"/>
      <c r="AF239"/>
    </row>
    <row r="240" spans="1:32" hidden="1" x14ac:dyDescent="0.2">
      <c r="A240" s="1">
        <v>139</v>
      </c>
      <c r="B240" s="1"/>
      <c r="C240" s="2" t="s">
        <v>24</v>
      </c>
      <c r="D240" s="2" t="str">
        <f>IF(COUNTIF($AG$3:$AG$20,C240)&gt;0,$AG$2,
 IF(COUNTIF($AH$3:$AH$20,C240)&gt;0,$AH$2,
 IF(COUNTIF($AI$3:$AI$20,C240)&gt;0,$AI$2,
 IF(COUNTIF($AJ$3:$AJ$20,C240)&gt;0,$AJ$2,
 IF(COUNTIF($AK$3:$AK$20,C240)&gt;0,$AK$2,
 IF(COUNTIF($AL$3:$AL$20,C240)&gt;0,$AL$2,
 IF(COUNTIF($AM$3:$AM$20,C240)&gt;0,$AM$2,"Not Found")))))))</f>
        <v>Not Found</v>
      </c>
      <c r="E240" s="2" t="s">
        <v>10</v>
      </c>
      <c r="F240" s="2" t="s">
        <v>11</v>
      </c>
      <c r="G240" s="2">
        <v>113</v>
      </c>
      <c r="H240" s="2">
        <v>1319</v>
      </c>
      <c r="I240" s="2">
        <v>114</v>
      </c>
      <c r="J240" s="2">
        <v>256</v>
      </c>
      <c r="K240" s="4">
        <v>0.77900000000000003</v>
      </c>
      <c r="L240" s="4">
        <v>0.61399999999999999</v>
      </c>
      <c r="M240" s="2">
        <v>111.6</v>
      </c>
      <c r="N240" s="2">
        <v>104.9</v>
      </c>
      <c r="O240" s="2">
        <v>94.8</v>
      </c>
      <c r="P240" s="2">
        <v>101.7</v>
      </c>
      <c r="Q240" s="4">
        <v>0.57599999999999996</v>
      </c>
      <c r="R240" s="4">
        <v>0.55300000000000005</v>
      </c>
      <c r="S240" s="4">
        <v>0.51700000000000002</v>
      </c>
      <c r="T240" s="4">
        <v>0.53800000000000003</v>
      </c>
      <c r="U240" s="19">
        <f>Table2[[#This Row],[NET PF]]/Table2[[#This Row],[HOME GAMES]]</f>
        <v>-1.0796460176991149</v>
      </c>
      <c r="V240" s="28">
        <f>393/Table2[[#This Row],[AWAY GAMES]]</f>
        <v>3.4473684210526314</v>
      </c>
      <c r="W240" s="4">
        <v>0.71199999999999997</v>
      </c>
      <c r="X240" s="4">
        <v>0.72099999999999997</v>
      </c>
      <c r="Y240" s="2">
        <v>-122</v>
      </c>
      <c r="Z240" s="2">
        <v>-32</v>
      </c>
      <c r="AA240" s="8">
        <f>Table2[[#This Row],[HOME MARGIN]]/Table2[[#This Row],[HOME GAMES]]</f>
        <v>11.672566371681416</v>
      </c>
      <c r="AB240" s="8">
        <f>Table2[[#This Row],[AWAY MARGIN]]/Table2[[#This Row],[AWAY GAMES]]</f>
        <v>2.2456140350877192</v>
      </c>
      <c r="AC240" s="8">
        <f>Table2[[#This Row],[HOME MARGIN/GAME]]-Table2[[#This Row],[AWAY MARGIN/GAME]]</f>
        <v>9.4269523365936969</v>
      </c>
      <c r="AD240" s="23">
        <f>Table2[[#This Row],[HOME W/L%]]-Table2[[#This Row],[AWAY W/L%]]</f>
        <v>0.16500000000000004</v>
      </c>
      <c r="AE240" s="22"/>
      <c r="AF240"/>
    </row>
    <row r="241" spans="1:32" x14ac:dyDescent="0.2">
      <c r="A241" s="1">
        <v>128</v>
      </c>
      <c r="B241" s="1">
        <v>51</v>
      </c>
      <c r="C241" s="2" t="s">
        <v>97</v>
      </c>
      <c r="D241" s="2" t="str">
        <f>IF(COUNTIF($AG$3:$AG$20,C241)&gt;0,$AG$2,
 IF(COUNTIF($AH$3:$AH$20,C241)&gt;0,$AH$2,
 IF(COUNTIF($AI$3:$AI$20,C241)&gt;0,$AI$2,
 IF(COUNTIF($AJ$3:$AJ$20,C241)&gt;0,$AJ$2,
 IF(COUNTIF($AK$3:$AK$20,C241)&gt;0,$AK$2,
 IF(COUNTIF($AL$3:$AL$20,C241)&gt;0,$AL$2,
 IF(COUNTIF($AM$3:$AM$20,C241)&gt;0,$AM$2,"Not Found")))))))</f>
        <v>Big East</v>
      </c>
      <c r="E241" s="2" t="s">
        <v>10</v>
      </c>
      <c r="F241" s="2" t="s">
        <v>11</v>
      </c>
      <c r="G241" s="2">
        <v>164</v>
      </c>
      <c r="H241" s="2">
        <v>1363</v>
      </c>
      <c r="I241" s="2">
        <v>109</v>
      </c>
      <c r="J241" s="2">
        <v>-234</v>
      </c>
      <c r="K241" s="4">
        <v>0.78</v>
      </c>
      <c r="L241" s="4">
        <v>0.44</v>
      </c>
      <c r="M241" s="2">
        <v>107</v>
      </c>
      <c r="N241" s="2">
        <v>99.5</v>
      </c>
      <c r="O241" s="2">
        <v>95.2</v>
      </c>
      <c r="P241" s="2">
        <v>102.6</v>
      </c>
      <c r="Q241" s="4">
        <v>0.55300000000000005</v>
      </c>
      <c r="R241" s="4">
        <v>0.51900000000000002</v>
      </c>
      <c r="S241" s="4">
        <v>0.50900000000000001</v>
      </c>
      <c r="T241" s="4">
        <v>0.53300000000000003</v>
      </c>
      <c r="U241" s="19">
        <f>Table2[[#This Row],[NET PF]]/Table2[[#This Row],[HOME GAMES]]</f>
        <v>-3.3292682926829267</v>
      </c>
      <c r="V241" s="28">
        <f>393/Table2[[#This Row],[AWAY GAMES]]</f>
        <v>3.6055045871559632</v>
      </c>
      <c r="W241" s="4">
        <v>0.70499999999999996</v>
      </c>
      <c r="X241" s="4">
        <v>0.72799999999999998</v>
      </c>
      <c r="Y241" s="2">
        <v>-546</v>
      </c>
      <c r="Z241" s="2">
        <v>86</v>
      </c>
      <c r="AA241" s="8">
        <f>Table2[[#This Row],[HOME MARGIN]]/Table2[[#This Row],[HOME GAMES]]</f>
        <v>8.3109756097560972</v>
      </c>
      <c r="AB241" s="8">
        <f>Table2[[#This Row],[AWAY MARGIN]]/Table2[[#This Row],[AWAY GAMES]]</f>
        <v>-2.1467889908256881</v>
      </c>
      <c r="AC241" s="8">
        <f>Table2[[#This Row],[HOME MARGIN/GAME]]-Table2[[#This Row],[AWAY MARGIN/GAME]]</f>
        <v>10.457764600581786</v>
      </c>
      <c r="AD241" s="23">
        <f>Table2[[#This Row],[HOME W/L%]]-Table2[[#This Row],[AWAY W/L%]]</f>
        <v>0.34</v>
      </c>
      <c r="AE241" s="22"/>
      <c r="AF241"/>
    </row>
    <row r="242" spans="1:32" x14ac:dyDescent="0.2">
      <c r="A242" s="1">
        <v>5</v>
      </c>
      <c r="B242" s="17">
        <v>4</v>
      </c>
      <c r="C242" s="33" t="s">
        <v>33</v>
      </c>
      <c r="D242" s="33" t="str">
        <f>IF(COUNTIF($AG$3:$AG$20,C242)&gt;0,$AG$2,
 IF(COUNTIF($AH$3:$AH$20,C242)&gt;0,$AH$2,
 IF(COUNTIF($AI$3:$AI$20,C242)&gt;0,$AI$2,
 IF(COUNTIF($AJ$3:$AJ$20,C242)&gt;0,$AJ$2,
 IF(COUNTIF($AK$3:$AK$20,C242)&gt;0,$AK$2,
 IF(COUNTIF($AL$3:$AL$20,C242)&gt;0,$AL$2,
 IF(COUNTIF($AM$3:$AM$20,C242)&gt;0,$AM$2,"Not Found")))))))</f>
        <v>Big 10</v>
      </c>
      <c r="E242" s="33" t="s">
        <v>10</v>
      </c>
      <c r="F242" s="33" t="s">
        <v>11</v>
      </c>
      <c r="G242" s="33">
        <v>160</v>
      </c>
      <c r="H242" s="33">
        <v>2833</v>
      </c>
      <c r="I242" s="33">
        <v>107</v>
      </c>
      <c r="J242" s="33">
        <v>183</v>
      </c>
      <c r="K242" s="34">
        <v>0.90600000000000003</v>
      </c>
      <c r="L242" s="34">
        <v>0.55100000000000005</v>
      </c>
      <c r="M242" s="33">
        <v>117.9</v>
      </c>
      <c r="N242" s="33">
        <v>104.7</v>
      </c>
      <c r="O242" s="33">
        <v>92.3</v>
      </c>
      <c r="P242" s="33">
        <v>102.1</v>
      </c>
      <c r="Q242" s="34">
        <v>0.59599999999999997</v>
      </c>
      <c r="R242" s="34">
        <v>0.53900000000000003</v>
      </c>
      <c r="S242" s="34">
        <v>0.48899999999999999</v>
      </c>
      <c r="T242" s="34">
        <v>0.53300000000000003</v>
      </c>
      <c r="U242" s="35">
        <f>Table2[[#This Row],[NET PF]]/Table2[[#This Row],[HOME GAMES]]</f>
        <v>-4.6749999999999998</v>
      </c>
      <c r="V242" s="36">
        <f>393/Table2[[#This Row],[AWAY GAMES]]</f>
        <v>3.6728971962616823</v>
      </c>
      <c r="W242" s="34">
        <v>0.70299999999999996</v>
      </c>
      <c r="X242" s="34">
        <v>0.72099999999999997</v>
      </c>
      <c r="Y242" s="33">
        <v>-748</v>
      </c>
      <c r="Z242" s="33">
        <v>-26</v>
      </c>
      <c r="AA242" s="35">
        <f>Table2[[#This Row],[HOME MARGIN]]/Table2[[#This Row],[HOME GAMES]]</f>
        <v>17.706250000000001</v>
      </c>
      <c r="AB242" s="35">
        <f>Table2[[#This Row],[AWAY MARGIN]]/Table2[[#This Row],[AWAY GAMES]]</f>
        <v>1.7102803738317758</v>
      </c>
      <c r="AC242" s="35">
        <f>Table2[[#This Row],[HOME MARGIN/GAME]]-Table2[[#This Row],[AWAY MARGIN/GAME]]</f>
        <v>15.995969626168225</v>
      </c>
      <c r="AD242" s="34">
        <f>Table2[[#This Row],[HOME W/L%]]-Table2[[#This Row],[AWAY W/L%]]</f>
        <v>0.35499999999999998</v>
      </c>
      <c r="AE242" s="22"/>
      <c r="AF242"/>
    </row>
    <row r="243" spans="1:32" hidden="1" x14ac:dyDescent="0.2">
      <c r="A243" s="1">
        <v>59</v>
      </c>
      <c r="B243" s="1"/>
      <c r="C243" s="2" t="s">
        <v>149</v>
      </c>
      <c r="D243" s="2" t="str">
        <f>IF(COUNTIF($AG$3:$AG$20,C243)&gt;0,$AG$2,
 IF(COUNTIF($AH$3:$AH$20,C243)&gt;0,$AH$2,
 IF(COUNTIF($AI$3:$AI$20,C243)&gt;0,$AI$2,
 IF(COUNTIF($AJ$3:$AJ$20,C243)&gt;0,$AJ$2,
 IF(COUNTIF($AK$3:$AK$20,C243)&gt;0,$AK$2,
 IF(COUNTIF($AL$3:$AL$20,C243)&gt;0,$AL$2,
 IF(COUNTIF($AM$3:$AM$20,C243)&gt;0,$AM$2,"Not Found")))))))</f>
        <v>Not Found</v>
      </c>
      <c r="E243" s="2" t="s">
        <v>10</v>
      </c>
      <c r="F243" s="2" t="s">
        <v>11</v>
      </c>
      <c r="G243" s="2">
        <v>145</v>
      </c>
      <c r="H243" s="2">
        <v>1852</v>
      </c>
      <c r="I243" s="2">
        <v>141</v>
      </c>
      <c r="J243" s="2">
        <v>-428</v>
      </c>
      <c r="K243" s="4">
        <v>0.745</v>
      </c>
      <c r="L243" s="4">
        <v>0.41099999999999998</v>
      </c>
      <c r="M243" s="2">
        <v>112.4</v>
      </c>
      <c r="N243" s="2">
        <v>102.7</v>
      </c>
      <c r="O243" s="2">
        <v>95.3</v>
      </c>
      <c r="P243" s="2">
        <v>106.9</v>
      </c>
      <c r="Q243" s="4">
        <v>0.59499999999999997</v>
      </c>
      <c r="R243" s="4">
        <v>0.55300000000000005</v>
      </c>
      <c r="S243" s="4">
        <v>0.52700000000000002</v>
      </c>
      <c r="T243" s="4">
        <v>0.56799999999999995</v>
      </c>
      <c r="U243" s="19">
        <f>Table2[[#This Row],[NET PF]]/Table2[[#This Row],[HOME GAMES]]</f>
        <v>-2.1793103448275861</v>
      </c>
      <c r="V243" s="28">
        <f>393/Table2[[#This Row],[AWAY GAMES]]</f>
        <v>2.7872340425531914</v>
      </c>
      <c r="W243" s="4">
        <v>0.71899999999999997</v>
      </c>
      <c r="X243" s="4">
        <v>0.72399999999999998</v>
      </c>
      <c r="Y243" s="2">
        <v>-316</v>
      </c>
      <c r="Z243" s="2">
        <v>196</v>
      </c>
      <c r="AA243" s="8">
        <f>Table2[[#This Row],[HOME MARGIN]]/Table2[[#This Row],[HOME GAMES]]</f>
        <v>12.772413793103448</v>
      </c>
      <c r="AB243" s="8">
        <f>Table2[[#This Row],[AWAY MARGIN]]/Table2[[#This Row],[AWAY GAMES]]</f>
        <v>-3.0354609929078014</v>
      </c>
      <c r="AC243" s="8">
        <f>Table2[[#This Row],[HOME MARGIN/GAME]]-Table2[[#This Row],[AWAY MARGIN/GAME]]</f>
        <v>15.807874786011249</v>
      </c>
      <c r="AD243" s="23">
        <f>Table2[[#This Row],[HOME W/L%]]-Table2[[#This Row],[AWAY W/L%]]</f>
        <v>0.33400000000000002</v>
      </c>
      <c r="AE243" s="22"/>
      <c r="AF243"/>
    </row>
    <row r="244" spans="1:32" hidden="1" x14ac:dyDescent="0.2">
      <c r="A244" s="1">
        <v>313</v>
      </c>
      <c r="B244" s="1"/>
      <c r="C244" s="2" t="s">
        <v>112</v>
      </c>
      <c r="D244" s="2" t="str">
        <f>IF(COUNTIF($AG$3:$AG$20,C244)&gt;0,$AG$2,
 IF(COUNTIF($AH$3:$AH$20,C244)&gt;0,$AH$2,
 IF(COUNTIF($AI$3:$AI$20,C244)&gt;0,$AI$2,
 IF(COUNTIF($AJ$3:$AJ$20,C244)&gt;0,$AJ$2,
 IF(COUNTIF($AK$3:$AK$20,C244)&gt;0,$AK$2,
 IF(COUNTIF($AL$3:$AL$20,C244)&gt;0,$AL$2,
 IF(COUNTIF($AM$3:$AM$20,C244)&gt;0,$AM$2,"Not Found")))))))</f>
        <v>Not Found</v>
      </c>
      <c r="E244" s="2" t="s">
        <v>113</v>
      </c>
      <c r="F244" s="2" t="s">
        <v>11</v>
      </c>
      <c r="G244" s="2">
        <v>41</v>
      </c>
      <c r="H244" s="2">
        <v>384</v>
      </c>
      <c r="I244" s="2">
        <v>50</v>
      </c>
      <c r="J244" s="2">
        <v>-312</v>
      </c>
      <c r="K244" s="4">
        <v>0.68300000000000005</v>
      </c>
      <c r="L244" s="4">
        <v>0.34</v>
      </c>
      <c r="M244" s="2">
        <v>114.8</v>
      </c>
      <c r="N244" s="2">
        <v>101.3</v>
      </c>
      <c r="O244" s="2">
        <v>102.3</v>
      </c>
      <c r="P244" s="2">
        <v>110</v>
      </c>
      <c r="Q244" s="4">
        <v>0.58499999999999996</v>
      </c>
      <c r="R244" s="4">
        <v>0.52300000000000002</v>
      </c>
      <c r="S244" s="4">
        <v>0.53600000000000003</v>
      </c>
      <c r="T244" s="4">
        <v>0.56299999999999994</v>
      </c>
      <c r="U244" s="19">
        <f>Table2[[#This Row],[NET PF]]/Table2[[#This Row],[HOME GAMES]]</f>
        <v>-1.9024390243902438</v>
      </c>
      <c r="V244" s="28">
        <f>393/Table2[[#This Row],[AWAY GAMES]]</f>
        <v>7.86</v>
      </c>
      <c r="W244" s="4">
        <v>0.753</v>
      </c>
      <c r="X244" s="4">
        <v>0.70099999999999996</v>
      </c>
      <c r="Y244" s="2">
        <v>-78</v>
      </c>
      <c r="Z244" s="2">
        <v>3</v>
      </c>
      <c r="AA244" s="8">
        <f>Table2[[#This Row],[HOME MARGIN]]/Table2[[#This Row],[HOME GAMES]]</f>
        <v>9.3658536585365848</v>
      </c>
      <c r="AB244" s="8">
        <f>Table2[[#This Row],[AWAY MARGIN]]/Table2[[#This Row],[AWAY GAMES]]</f>
        <v>-6.24</v>
      </c>
      <c r="AC244" s="8">
        <f>Table2[[#This Row],[HOME MARGIN/GAME]]-Table2[[#This Row],[AWAY MARGIN/GAME]]</f>
        <v>15.605853658536585</v>
      </c>
      <c r="AD244" s="23">
        <f>Table2[[#This Row],[HOME W/L%]]-Table2[[#This Row],[AWAY W/L%]]</f>
        <v>0.34300000000000003</v>
      </c>
      <c r="AE244" s="22"/>
      <c r="AF244"/>
    </row>
    <row r="245" spans="1:32" hidden="1" x14ac:dyDescent="0.2">
      <c r="A245" s="1">
        <v>303</v>
      </c>
      <c r="B245" s="1"/>
      <c r="C245" s="2" t="s">
        <v>173</v>
      </c>
      <c r="D245" s="2" t="str">
        <f>IF(COUNTIF($AG$3:$AG$20,C245)&gt;0,$AG$2,
 IF(COUNTIF($AH$3:$AH$20,C245)&gt;0,$AH$2,
 IF(COUNTIF($AI$3:$AI$20,C245)&gt;0,$AI$2,
 IF(COUNTIF($AJ$3:$AJ$20,C245)&gt;0,$AJ$2,
 IF(COUNTIF($AK$3:$AK$20,C245)&gt;0,$AK$2,
 IF(COUNTIF($AL$3:$AL$20,C245)&gt;0,$AL$2,
 IF(COUNTIF($AM$3:$AM$20,C245)&gt;0,$AM$2,"Not Found")))))))</f>
        <v>Not Found</v>
      </c>
      <c r="E245" s="2" t="s">
        <v>10</v>
      </c>
      <c r="F245" s="2" t="s">
        <v>11</v>
      </c>
      <c r="G245" s="2">
        <v>139</v>
      </c>
      <c r="H245" s="2">
        <v>450</v>
      </c>
      <c r="I245" s="2">
        <v>136</v>
      </c>
      <c r="J245" s="2">
        <v>-512</v>
      </c>
      <c r="K245" s="4">
        <v>0.60399999999999998</v>
      </c>
      <c r="L245" s="4">
        <v>0.39700000000000002</v>
      </c>
      <c r="M245" s="2">
        <v>102.6</v>
      </c>
      <c r="N245" s="2">
        <v>99.4</v>
      </c>
      <c r="O245" s="2">
        <v>98.1</v>
      </c>
      <c r="P245" s="2">
        <v>104.6</v>
      </c>
      <c r="Q245" s="4">
        <v>0.53700000000000003</v>
      </c>
      <c r="R245" s="4">
        <v>0.51900000000000002</v>
      </c>
      <c r="S245" s="4">
        <v>0.51</v>
      </c>
      <c r="T245" s="4">
        <v>0.54300000000000004</v>
      </c>
      <c r="U245" s="19">
        <f>Table2[[#This Row],[NET PF]]/Table2[[#This Row],[HOME GAMES]]</f>
        <v>-0.98561151079136688</v>
      </c>
      <c r="V245" s="28">
        <f>393/Table2[[#This Row],[AWAY GAMES]]</f>
        <v>2.8897058823529411</v>
      </c>
      <c r="W245" s="4">
        <v>0.69699999999999995</v>
      </c>
      <c r="X245" s="4">
        <v>0.71399999999999997</v>
      </c>
      <c r="Y245" s="2">
        <v>-137</v>
      </c>
      <c r="Z245" s="2">
        <v>69</v>
      </c>
      <c r="AA245" s="8">
        <f>Table2[[#This Row],[HOME MARGIN]]/Table2[[#This Row],[HOME GAMES]]</f>
        <v>3.2374100719424459</v>
      </c>
      <c r="AB245" s="8">
        <f>Table2[[#This Row],[AWAY MARGIN]]/Table2[[#This Row],[AWAY GAMES]]</f>
        <v>-3.7647058823529411</v>
      </c>
      <c r="AC245" s="8">
        <f>Table2[[#This Row],[HOME MARGIN/GAME]]-Table2[[#This Row],[AWAY MARGIN/GAME]]</f>
        <v>7.0021159542953875</v>
      </c>
      <c r="AD245" s="23">
        <f>Table2[[#This Row],[HOME W/L%]]-Table2[[#This Row],[AWAY W/L%]]</f>
        <v>0.20699999999999996</v>
      </c>
      <c r="AE245" s="22"/>
      <c r="AF245"/>
    </row>
    <row r="246" spans="1:32" hidden="1" x14ac:dyDescent="0.2">
      <c r="A246" s="1">
        <v>181</v>
      </c>
      <c r="B246" s="1"/>
      <c r="C246" s="2" t="s">
        <v>180</v>
      </c>
      <c r="D246" s="2" t="str">
        <f>IF(COUNTIF($AG$3:$AG$20,C246)&gt;0,$AG$2,
 IF(COUNTIF($AH$3:$AH$20,C246)&gt;0,$AH$2,
 IF(COUNTIF($AI$3:$AI$20,C246)&gt;0,$AI$2,
 IF(COUNTIF($AJ$3:$AJ$20,C246)&gt;0,$AJ$2,
 IF(COUNTIF($AK$3:$AK$20,C246)&gt;0,$AK$2,
 IF(COUNTIF($AL$3:$AL$20,C246)&gt;0,$AL$2,
 IF(COUNTIF($AM$3:$AM$20,C246)&gt;0,$AM$2,"Not Found")))))))</f>
        <v>Not Found</v>
      </c>
      <c r="E246" s="2" t="s">
        <v>10</v>
      </c>
      <c r="F246" s="2" t="s">
        <v>11</v>
      </c>
      <c r="G246" s="2">
        <v>128</v>
      </c>
      <c r="H246" s="2">
        <v>1074</v>
      </c>
      <c r="I246" s="2">
        <v>152</v>
      </c>
      <c r="J246" s="2">
        <v>-543</v>
      </c>
      <c r="K246" s="4">
        <v>0.71099999999999997</v>
      </c>
      <c r="L246" s="4">
        <v>0.41399999999999998</v>
      </c>
      <c r="M246" s="2">
        <v>111.2</v>
      </c>
      <c r="N246" s="2">
        <v>99.2</v>
      </c>
      <c r="O246" s="2">
        <v>98.7</v>
      </c>
      <c r="P246" s="2">
        <v>104.5</v>
      </c>
      <c r="Q246" s="4">
        <v>0.56799999999999995</v>
      </c>
      <c r="R246" s="4">
        <v>0.52200000000000002</v>
      </c>
      <c r="S246" s="4">
        <v>0.52500000000000002</v>
      </c>
      <c r="T246" s="4">
        <v>0.54800000000000004</v>
      </c>
      <c r="U246" s="19">
        <f>Table2[[#This Row],[NET PF]]/Table2[[#This Row],[HOME GAMES]]</f>
        <v>-1.5</v>
      </c>
      <c r="V246" s="28">
        <f>393/Table2[[#This Row],[AWAY GAMES]]</f>
        <v>2.5855263157894739</v>
      </c>
      <c r="W246" s="4">
        <v>0.71099999999999997</v>
      </c>
      <c r="X246" s="4">
        <v>0.71399999999999997</v>
      </c>
      <c r="Y246" s="2">
        <v>-192</v>
      </c>
      <c r="Z246" s="2">
        <v>279</v>
      </c>
      <c r="AA246" s="8">
        <f>Table2[[#This Row],[HOME MARGIN]]/Table2[[#This Row],[HOME GAMES]]</f>
        <v>8.390625</v>
      </c>
      <c r="AB246" s="8">
        <f>Table2[[#This Row],[AWAY MARGIN]]/Table2[[#This Row],[AWAY GAMES]]</f>
        <v>-3.5723684210526314</v>
      </c>
      <c r="AC246" s="8">
        <f>Table2[[#This Row],[HOME MARGIN/GAME]]-Table2[[#This Row],[AWAY MARGIN/GAME]]</f>
        <v>11.962993421052632</v>
      </c>
      <c r="AD246" s="23">
        <f>Table2[[#This Row],[HOME W/L%]]-Table2[[#This Row],[AWAY W/L%]]</f>
        <v>0.29699999999999999</v>
      </c>
      <c r="AE246" s="22"/>
      <c r="AF246"/>
    </row>
    <row r="247" spans="1:32" hidden="1" x14ac:dyDescent="0.2">
      <c r="A247" s="1">
        <v>191</v>
      </c>
      <c r="B247" s="1"/>
      <c r="C247" s="2" t="s">
        <v>89</v>
      </c>
      <c r="D247" s="2" t="str">
        <f>IF(COUNTIF($AG$3:$AG$20,C247)&gt;0,$AG$2,
 IF(COUNTIF($AH$3:$AH$20,C247)&gt;0,$AH$2,
 IF(COUNTIF($AI$3:$AI$20,C247)&gt;0,$AI$2,
 IF(COUNTIF($AJ$3:$AJ$20,C247)&gt;0,$AJ$2,
 IF(COUNTIF($AK$3:$AK$20,C247)&gt;0,$AK$2,
 IF(COUNTIF($AL$3:$AL$20,C247)&gt;0,$AL$2,
 IF(COUNTIF($AM$3:$AM$20,C247)&gt;0,$AM$2,"Not Found")))))))</f>
        <v>Not Found</v>
      </c>
      <c r="E247" s="2" t="s">
        <v>10</v>
      </c>
      <c r="F247" s="2" t="s">
        <v>11</v>
      </c>
      <c r="G247" s="2">
        <v>152</v>
      </c>
      <c r="H247" s="2">
        <v>1022</v>
      </c>
      <c r="I247" s="2">
        <v>115</v>
      </c>
      <c r="J247" s="2">
        <v>-206</v>
      </c>
      <c r="K247" s="4">
        <v>0.71099999999999997</v>
      </c>
      <c r="L247" s="4">
        <v>0.34799999999999998</v>
      </c>
      <c r="M247" s="2">
        <v>104.2</v>
      </c>
      <c r="N247" s="2">
        <v>98.6</v>
      </c>
      <c r="O247" s="2">
        <v>94.7</v>
      </c>
      <c r="P247" s="2">
        <v>101.1</v>
      </c>
      <c r="Q247" s="4">
        <v>0.53700000000000003</v>
      </c>
      <c r="R247" s="4">
        <v>0.51600000000000001</v>
      </c>
      <c r="S247" s="4">
        <v>0.505</v>
      </c>
      <c r="T247" s="4">
        <v>0.53700000000000003</v>
      </c>
      <c r="U247" s="19">
        <f>Table2[[#This Row],[NET PF]]/Table2[[#This Row],[HOME GAMES]]</f>
        <v>-2.1710526315789473</v>
      </c>
      <c r="V247" s="28">
        <f>393/Table2[[#This Row],[AWAY GAMES]]</f>
        <v>3.4173913043478259</v>
      </c>
      <c r="W247" s="4">
        <v>0.68700000000000006</v>
      </c>
      <c r="X247" s="4">
        <v>0.72699999999999998</v>
      </c>
      <c r="Y247" s="2">
        <v>-330</v>
      </c>
      <c r="Z247" s="2">
        <v>141</v>
      </c>
      <c r="AA247" s="8">
        <f>Table2[[#This Row],[HOME MARGIN]]/Table2[[#This Row],[HOME GAMES]]</f>
        <v>6.7236842105263159</v>
      </c>
      <c r="AB247" s="8">
        <f>Table2[[#This Row],[AWAY MARGIN]]/Table2[[#This Row],[AWAY GAMES]]</f>
        <v>-1.7913043478260871</v>
      </c>
      <c r="AC247" s="8">
        <f>Table2[[#This Row],[HOME MARGIN/GAME]]-Table2[[#This Row],[AWAY MARGIN/GAME]]</f>
        <v>8.5149885583524032</v>
      </c>
      <c r="AD247" s="23">
        <f>Table2[[#This Row],[HOME W/L%]]-Table2[[#This Row],[AWAY W/L%]]</f>
        <v>0.36299999999999999</v>
      </c>
      <c r="AE247" s="22"/>
      <c r="AF247"/>
    </row>
    <row r="248" spans="1:32" hidden="1" x14ac:dyDescent="0.2">
      <c r="A248" s="1">
        <v>269</v>
      </c>
      <c r="B248" s="1"/>
      <c r="C248" s="2" t="s">
        <v>334</v>
      </c>
      <c r="D248" s="2" t="str">
        <f>IF(COUNTIF($AG$3:$AG$20,C248)&gt;0,$AG$2,
 IF(COUNTIF($AH$3:$AH$20,C248)&gt;0,$AH$2,
 IF(COUNTIF($AI$3:$AI$20,C248)&gt;0,$AI$2,
 IF(COUNTIF($AJ$3:$AJ$20,C248)&gt;0,$AJ$2,
 IF(COUNTIF($AK$3:$AK$20,C248)&gt;0,$AK$2,
 IF(COUNTIF($AL$3:$AL$20,C248)&gt;0,$AL$2,
 IF(COUNTIF($AM$3:$AM$20,C248)&gt;0,$AM$2,"Not Found")))))))</f>
        <v>Not Found</v>
      </c>
      <c r="E248" s="2" t="s">
        <v>10</v>
      </c>
      <c r="F248" s="2" t="s">
        <v>11</v>
      </c>
      <c r="G248" s="2">
        <v>156</v>
      </c>
      <c r="H248" s="2">
        <v>633</v>
      </c>
      <c r="I248" s="2">
        <v>132</v>
      </c>
      <c r="J248" s="2">
        <v>-891</v>
      </c>
      <c r="K248" s="4">
        <v>0.55100000000000005</v>
      </c>
      <c r="L248" s="4">
        <v>0.34100000000000003</v>
      </c>
      <c r="M248" s="2">
        <v>107</v>
      </c>
      <c r="N248" s="2">
        <v>98.8</v>
      </c>
      <c r="O248" s="2">
        <v>101.4</v>
      </c>
      <c r="P248" s="2">
        <v>108.2</v>
      </c>
      <c r="Q248" s="4">
        <v>0.56499999999999995</v>
      </c>
      <c r="R248" s="4">
        <v>0.53300000000000003</v>
      </c>
      <c r="S248" s="4">
        <v>0.53100000000000003</v>
      </c>
      <c r="T248" s="4">
        <v>0.55900000000000005</v>
      </c>
      <c r="U248" s="19">
        <f>Table2[[#This Row],[NET PF]]/Table2[[#This Row],[HOME GAMES]]</f>
        <v>-3.4294871794871793</v>
      </c>
      <c r="V248" s="28">
        <f>393/Table2[[#This Row],[AWAY GAMES]]</f>
        <v>2.9772727272727271</v>
      </c>
      <c r="W248" s="4">
        <v>0.7</v>
      </c>
      <c r="X248" s="4">
        <v>0.71599999999999997</v>
      </c>
      <c r="Y248" s="2">
        <v>-535</v>
      </c>
      <c r="Z248" s="2">
        <v>-92</v>
      </c>
      <c r="AA248" s="8">
        <f>Table2[[#This Row],[HOME MARGIN]]/Table2[[#This Row],[HOME GAMES]]</f>
        <v>4.0576923076923075</v>
      </c>
      <c r="AB248" s="8">
        <f>Table2[[#This Row],[AWAY MARGIN]]/Table2[[#This Row],[AWAY GAMES]]</f>
        <v>-6.75</v>
      </c>
      <c r="AC248" s="8">
        <f>Table2[[#This Row],[HOME MARGIN/GAME]]-Table2[[#This Row],[AWAY MARGIN/GAME]]</f>
        <v>10.807692307692307</v>
      </c>
      <c r="AD248" s="23">
        <f>Table2[[#This Row],[HOME W/L%]]-Table2[[#This Row],[AWAY W/L%]]</f>
        <v>0.21000000000000002</v>
      </c>
      <c r="AE248" s="22"/>
      <c r="AF248"/>
    </row>
    <row r="249" spans="1:32" hidden="1" x14ac:dyDescent="0.2">
      <c r="A249" s="1">
        <v>218</v>
      </c>
      <c r="B249" s="1"/>
      <c r="C249" s="2" t="s">
        <v>107</v>
      </c>
      <c r="D249" s="2" t="str">
        <f>IF(COUNTIF($AG$3:$AG$20,C249)&gt;0,$AG$2,
 IF(COUNTIF($AH$3:$AH$20,C249)&gt;0,$AH$2,
 IF(COUNTIF($AI$3:$AI$20,C249)&gt;0,$AI$2,
 IF(COUNTIF($AJ$3:$AJ$20,C249)&gt;0,$AJ$2,
 IF(COUNTIF($AK$3:$AK$20,C249)&gt;0,$AK$2,
 IF(COUNTIF($AL$3:$AL$20,C249)&gt;0,$AL$2,
 IF(COUNTIF($AM$3:$AM$20,C249)&gt;0,$AM$2,"Not Found")))))))</f>
        <v>Not Found</v>
      </c>
      <c r="E249" s="2" t="s">
        <v>10</v>
      </c>
      <c r="F249" s="2" t="s">
        <v>11</v>
      </c>
      <c r="G249" s="2">
        <v>152</v>
      </c>
      <c r="H249" s="2">
        <v>893</v>
      </c>
      <c r="I249" s="2">
        <v>116</v>
      </c>
      <c r="J249" s="2">
        <v>-285</v>
      </c>
      <c r="K249" s="4">
        <v>0.63800000000000001</v>
      </c>
      <c r="L249" s="4">
        <v>0.44</v>
      </c>
      <c r="M249" s="2">
        <v>107.9</v>
      </c>
      <c r="N249" s="2">
        <v>102.2</v>
      </c>
      <c r="O249" s="2">
        <v>99.3</v>
      </c>
      <c r="P249" s="2">
        <v>105.7</v>
      </c>
      <c r="Q249" s="4">
        <v>0.56899999999999995</v>
      </c>
      <c r="R249" s="4">
        <v>0.54600000000000004</v>
      </c>
      <c r="S249" s="4">
        <v>0.52700000000000002</v>
      </c>
      <c r="T249" s="4">
        <v>0.55100000000000005</v>
      </c>
      <c r="U249" s="19">
        <f>Table2[[#This Row],[NET PF]]/Table2[[#This Row],[HOME GAMES]]</f>
        <v>-1.5855263157894737</v>
      </c>
      <c r="V249" s="28">
        <f>393/Table2[[#This Row],[AWAY GAMES]]</f>
        <v>3.3879310344827585</v>
      </c>
      <c r="W249" s="4">
        <v>0.70199999999999996</v>
      </c>
      <c r="X249" s="4">
        <v>0.73099999999999998</v>
      </c>
      <c r="Y249" s="2">
        <v>-241</v>
      </c>
      <c r="Z249" s="2">
        <v>119</v>
      </c>
      <c r="AA249" s="8">
        <f>Table2[[#This Row],[HOME MARGIN]]/Table2[[#This Row],[HOME GAMES]]</f>
        <v>5.875</v>
      </c>
      <c r="AB249" s="8">
        <f>Table2[[#This Row],[AWAY MARGIN]]/Table2[[#This Row],[AWAY GAMES]]</f>
        <v>-2.4568965517241379</v>
      </c>
      <c r="AC249" s="8">
        <f>Table2[[#This Row],[HOME MARGIN/GAME]]-Table2[[#This Row],[AWAY MARGIN/GAME]]</f>
        <v>8.3318965517241388</v>
      </c>
      <c r="AD249" s="23">
        <f>Table2[[#This Row],[HOME W/L%]]-Table2[[#This Row],[AWAY W/L%]]</f>
        <v>0.19800000000000001</v>
      </c>
      <c r="AE249" s="22"/>
      <c r="AF249"/>
    </row>
    <row r="250" spans="1:32" hidden="1" x14ac:dyDescent="0.2">
      <c r="A250" s="1">
        <v>291</v>
      </c>
      <c r="B250" s="1"/>
      <c r="C250" s="2" t="s">
        <v>199</v>
      </c>
      <c r="D250" s="2" t="str">
        <f>IF(COUNTIF($AG$3:$AG$20,C250)&gt;0,$AG$2,
 IF(COUNTIF($AH$3:$AH$20,C250)&gt;0,$AH$2,
 IF(COUNTIF($AI$3:$AI$20,C250)&gt;0,$AI$2,
 IF(COUNTIF($AJ$3:$AJ$20,C250)&gt;0,$AJ$2,
 IF(COUNTIF($AK$3:$AK$20,C250)&gt;0,$AK$2,
 IF(COUNTIF($AL$3:$AL$20,C250)&gt;0,$AL$2,
 IF(COUNTIF($AM$3:$AM$20,C250)&gt;0,$AM$2,"Not Found")))))))</f>
        <v>Not Found</v>
      </c>
      <c r="E250" s="2" t="s">
        <v>10</v>
      </c>
      <c r="F250" s="2" t="s">
        <v>11</v>
      </c>
      <c r="G250" s="2">
        <v>122</v>
      </c>
      <c r="H250" s="2">
        <v>538</v>
      </c>
      <c r="I250" s="2">
        <v>158</v>
      </c>
      <c r="J250" s="2">
        <v>-600</v>
      </c>
      <c r="K250" s="4">
        <v>0.623</v>
      </c>
      <c r="L250" s="4">
        <v>0.39200000000000002</v>
      </c>
      <c r="M250" s="2">
        <v>103.6</v>
      </c>
      <c r="N250" s="2">
        <v>98.7</v>
      </c>
      <c r="O250" s="2">
        <v>97.4</v>
      </c>
      <c r="P250" s="2">
        <v>104.1</v>
      </c>
      <c r="Q250" s="4">
        <v>0.53300000000000003</v>
      </c>
      <c r="R250" s="4">
        <v>0.51100000000000001</v>
      </c>
      <c r="S250" s="4">
        <v>0.53</v>
      </c>
      <c r="T250" s="4">
        <v>0.54200000000000004</v>
      </c>
      <c r="U250" s="19">
        <f>Table2[[#This Row],[NET PF]]/Table2[[#This Row],[HOME GAMES]]</f>
        <v>-1.0819672131147542</v>
      </c>
      <c r="V250" s="28">
        <f>393/Table2[[#This Row],[AWAY GAMES]]</f>
        <v>2.4873417721518987</v>
      </c>
      <c r="W250" s="4">
        <v>0.68799999999999994</v>
      </c>
      <c r="X250" s="4">
        <v>0.69699999999999995</v>
      </c>
      <c r="Y250" s="2">
        <v>-132</v>
      </c>
      <c r="Z250" s="2">
        <v>75</v>
      </c>
      <c r="AA250" s="8">
        <f>Table2[[#This Row],[HOME MARGIN]]/Table2[[#This Row],[HOME GAMES]]</f>
        <v>4.4098360655737707</v>
      </c>
      <c r="AB250" s="8">
        <f>Table2[[#This Row],[AWAY MARGIN]]/Table2[[#This Row],[AWAY GAMES]]</f>
        <v>-3.7974683544303796</v>
      </c>
      <c r="AC250" s="8">
        <f>Table2[[#This Row],[HOME MARGIN/GAME]]-Table2[[#This Row],[AWAY MARGIN/GAME]]</f>
        <v>8.2073044200041494</v>
      </c>
      <c r="AD250" s="23">
        <f>Table2[[#This Row],[HOME W/L%]]-Table2[[#This Row],[AWAY W/L%]]</f>
        <v>0.23099999999999998</v>
      </c>
      <c r="AE250" s="22"/>
      <c r="AF250"/>
    </row>
    <row r="251" spans="1:32" hidden="1" x14ac:dyDescent="0.2">
      <c r="A251" s="1">
        <v>297</v>
      </c>
      <c r="B251" s="1"/>
      <c r="C251" s="2" t="s">
        <v>336</v>
      </c>
      <c r="D251" s="2" t="str">
        <f>IF(COUNTIF($AG$3:$AG$20,C251)&gt;0,$AG$2,
 IF(COUNTIF($AH$3:$AH$20,C251)&gt;0,$AH$2,
 IF(COUNTIF($AI$3:$AI$20,C251)&gt;0,$AI$2,
 IF(COUNTIF($AJ$3:$AJ$20,C251)&gt;0,$AJ$2,
 IF(COUNTIF($AK$3:$AK$20,C251)&gt;0,$AK$2,
 IF(COUNTIF($AL$3:$AL$20,C251)&gt;0,$AL$2,
 IF(COUNTIF($AM$3:$AM$20,C251)&gt;0,$AM$2,"Not Found")))))))</f>
        <v>Not Found</v>
      </c>
      <c r="E251" s="2" t="s">
        <v>10</v>
      </c>
      <c r="F251" s="2" t="s">
        <v>11</v>
      </c>
      <c r="G251" s="2">
        <v>131</v>
      </c>
      <c r="H251" s="2">
        <v>520</v>
      </c>
      <c r="I251" s="2">
        <v>155</v>
      </c>
      <c r="J251" s="2">
        <v>-884</v>
      </c>
      <c r="K251" s="4">
        <v>0.55700000000000005</v>
      </c>
      <c r="L251" s="4">
        <v>0.32300000000000001</v>
      </c>
      <c r="M251" s="2">
        <v>102.6</v>
      </c>
      <c r="N251" s="2">
        <v>95.9</v>
      </c>
      <c r="O251" s="2">
        <v>97</v>
      </c>
      <c r="P251" s="2">
        <v>104</v>
      </c>
      <c r="Q251" s="4">
        <v>0.54400000000000004</v>
      </c>
      <c r="R251" s="4">
        <v>0.50800000000000001</v>
      </c>
      <c r="S251" s="4">
        <v>0.52400000000000002</v>
      </c>
      <c r="T251" s="4">
        <v>0.55600000000000005</v>
      </c>
      <c r="U251" s="19">
        <f>Table2[[#This Row],[NET PF]]/Table2[[#This Row],[HOME GAMES]]</f>
        <v>-0.35114503816793891</v>
      </c>
      <c r="V251" s="28">
        <f>393/Table2[[#This Row],[AWAY GAMES]]</f>
        <v>2.5354838709677421</v>
      </c>
      <c r="W251" s="4">
        <v>0.71699999999999997</v>
      </c>
      <c r="X251" s="4">
        <v>0.72199999999999998</v>
      </c>
      <c r="Y251" s="2">
        <v>-46</v>
      </c>
      <c r="Z251" s="2">
        <v>243</v>
      </c>
      <c r="AA251" s="8">
        <f>Table2[[#This Row],[HOME MARGIN]]/Table2[[#This Row],[HOME GAMES]]</f>
        <v>3.9694656488549618</v>
      </c>
      <c r="AB251" s="8">
        <f>Table2[[#This Row],[AWAY MARGIN]]/Table2[[#This Row],[AWAY GAMES]]</f>
        <v>-5.7032258064516128</v>
      </c>
      <c r="AC251" s="8">
        <f>Table2[[#This Row],[HOME MARGIN/GAME]]-Table2[[#This Row],[AWAY MARGIN/GAME]]</f>
        <v>9.672691455306575</v>
      </c>
      <c r="AD251" s="23">
        <f>Table2[[#This Row],[HOME W/L%]]-Table2[[#This Row],[AWAY W/L%]]</f>
        <v>0.23400000000000004</v>
      </c>
      <c r="AE251" s="22"/>
      <c r="AF251"/>
    </row>
    <row r="252" spans="1:32" x14ac:dyDescent="0.2">
      <c r="A252" s="1">
        <v>158</v>
      </c>
      <c r="B252" s="1">
        <v>62</v>
      </c>
      <c r="C252" s="2" t="s">
        <v>304</v>
      </c>
      <c r="D252" s="2" t="str">
        <f>IF(COUNTIF($AG$3:$AG$20,C252)&gt;0,$AG$2,
 IF(COUNTIF($AH$3:$AH$20,C252)&gt;0,$AH$2,
 IF(COUNTIF($AI$3:$AI$20,C252)&gt;0,$AI$2,
 IF(COUNTIF($AJ$3:$AJ$20,C252)&gt;0,$AJ$2,
 IF(COUNTIF($AK$3:$AK$20,C252)&gt;0,$AK$2,
 IF(COUNTIF($AL$3:$AL$20,C252)&gt;0,$AL$2,
 IF(COUNTIF($AM$3:$AM$20,C252)&gt;0,$AM$2,"Not Found")))))))</f>
        <v>Big 10</v>
      </c>
      <c r="E252" s="2" t="s">
        <v>10</v>
      </c>
      <c r="F252" s="2" t="s">
        <v>11</v>
      </c>
      <c r="G252" s="2">
        <v>175</v>
      </c>
      <c r="H252" s="2">
        <v>1213</v>
      </c>
      <c r="I252" s="2">
        <v>113</v>
      </c>
      <c r="J252" s="2">
        <v>-1028</v>
      </c>
      <c r="K252" s="4">
        <v>0.68</v>
      </c>
      <c r="L252" s="4">
        <v>0.23899999999999999</v>
      </c>
      <c r="M252" s="2">
        <v>100.9</v>
      </c>
      <c r="N252" s="2">
        <v>93.8</v>
      </c>
      <c r="O252" s="2">
        <v>91</v>
      </c>
      <c r="P252" s="2">
        <v>107</v>
      </c>
      <c r="Q252" s="4">
        <v>0.51</v>
      </c>
      <c r="R252" s="4">
        <v>0.48799999999999999</v>
      </c>
      <c r="S252" s="4">
        <v>0.48499999999999999</v>
      </c>
      <c r="T252" s="4">
        <v>0.55400000000000005</v>
      </c>
      <c r="U252" s="19">
        <f>Table2[[#This Row],[NET PF]]/Table2[[#This Row],[HOME GAMES]]</f>
        <v>-2.7657142857142856</v>
      </c>
      <c r="V252" s="28">
        <f>393/Table2[[#This Row],[AWAY GAMES]]</f>
        <v>3.4778761061946901</v>
      </c>
      <c r="W252" s="4">
        <v>0.67400000000000004</v>
      </c>
      <c r="X252" s="4">
        <v>0.72199999999999998</v>
      </c>
      <c r="Y252" s="2">
        <v>-484</v>
      </c>
      <c r="Z252" s="2">
        <v>326</v>
      </c>
      <c r="AA252" s="8">
        <f>Table2[[#This Row],[HOME MARGIN]]/Table2[[#This Row],[HOME GAMES]]</f>
        <v>6.9314285714285715</v>
      </c>
      <c r="AB252" s="8">
        <f>Table2[[#This Row],[AWAY MARGIN]]/Table2[[#This Row],[AWAY GAMES]]</f>
        <v>-9.0973451327433636</v>
      </c>
      <c r="AC252" s="8">
        <f>Table2[[#This Row],[HOME MARGIN/GAME]]-Table2[[#This Row],[AWAY MARGIN/GAME]]</f>
        <v>16.028773704171936</v>
      </c>
      <c r="AD252" s="23">
        <f>Table2[[#This Row],[HOME W/L%]]-Table2[[#This Row],[AWAY W/L%]]</f>
        <v>0.44100000000000006</v>
      </c>
      <c r="AE252" s="22"/>
      <c r="AF252"/>
    </row>
    <row r="253" spans="1:32" hidden="1" x14ac:dyDescent="0.2">
      <c r="A253" s="1">
        <v>279</v>
      </c>
      <c r="B253" s="1"/>
      <c r="C253" s="2" t="s">
        <v>295</v>
      </c>
      <c r="D253" s="2" t="str">
        <f>IF(COUNTIF($AG$3:$AG$20,C253)&gt;0,$AG$2,
 IF(COUNTIF($AH$3:$AH$20,C253)&gt;0,$AH$2,
 IF(COUNTIF($AI$3:$AI$20,C253)&gt;0,$AI$2,
 IF(COUNTIF($AJ$3:$AJ$20,C253)&gt;0,$AJ$2,
 IF(COUNTIF($AK$3:$AK$20,C253)&gt;0,$AK$2,
 IF(COUNTIF($AL$3:$AL$20,C253)&gt;0,$AL$2,
 IF(COUNTIF($AM$3:$AM$20,C253)&gt;0,$AM$2,"Not Found")))))))</f>
        <v>Not Found</v>
      </c>
      <c r="E253" s="2" t="s">
        <v>10</v>
      </c>
      <c r="F253" s="2" t="s">
        <v>11</v>
      </c>
      <c r="G253" s="2">
        <v>135</v>
      </c>
      <c r="H253" s="2">
        <v>577</v>
      </c>
      <c r="I253" s="2">
        <v>138</v>
      </c>
      <c r="J253" s="2">
        <v>-1091</v>
      </c>
      <c r="K253" s="4">
        <v>0.54100000000000004</v>
      </c>
      <c r="L253" s="4">
        <v>0.23200000000000001</v>
      </c>
      <c r="M253" s="2">
        <v>106.1</v>
      </c>
      <c r="N253" s="2">
        <v>93.7</v>
      </c>
      <c r="O253" s="2">
        <v>99.8</v>
      </c>
      <c r="P253" s="2">
        <v>105.3</v>
      </c>
      <c r="Q253" s="4">
        <v>0.55200000000000005</v>
      </c>
      <c r="R253" s="4">
        <v>0.501</v>
      </c>
      <c r="S253" s="4">
        <v>0.53700000000000003</v>
      </c>
      <c r="T253" s="4">
        <v>0.55300000000000005</v>
      </c>
      <c r="U253" s="19">
        <f>Table2[[#This Row],[NET PF]]/Table2[[#This Row],[HOME GAMES]]</f>
        <v>-0.42222222222222222</v>
      </c>
      <c r="V253" s="28">
        <f>393/Table2[[#This Row],[AWAY GAMES]]</f>
        <v>2.847826086956522</v>
      </c>
      <c r="W253" s="4">
        <v>0.71299999999999997</v>
      </c>
      <c r="X253" s="4">
        <v>0.73299999999999998</v>
      </c>
      <c r="Y253" s="2">
        <v>-57</v>
      </c>
      <c r="Z253" s="2">
        <v>212</v>
      </c>
      <c r="AA253" s="8">
        <f>Table2[[#This Row],[HOME MARGIN]]/Table2[[#This Row],[HOME GAMES]]</f>
        <v>4.2740740740740737</v>
      </c>
      <c r="AB253" s="8">
        <f>Table2[[#This Row],[AWAY MARGIN]]/Table2[[#This Row],[AWAY GAMES]]</f>
        <v>-7.9057971014492754</v>
      </c>
      <c r="AC253" s="8">
        <f>Table2[[#This Row],[HOME MARGIN/GAME]]-Table2[[#This Row],[AWAY MARGIN/GAME]]</f>
        <v>12.179871175523349</v>
      </c>
      <c r="AD253" s="23">
        <f>Table2[[#This Row],[HOME W/L%]]-Table2[[#This Row],[AWAY W/L%]]</f>
        <v>0.30900000000000005</v>
      </c>
      <c r="AE253" s="22"/>
      <c r="AF253"/>
    </row>
    <row r="254" spans="1:32" hidden="1" x14ac:dyDescent="0.2">
      <c r="A254" s="1">
        <v>280</v>
      </c>
      <c r="B254" s="1"/>
      <c r="C254" s="2" t="s">
        <v>354</v>
      </c>
      <c r="D254" s="2" t="str">
        <f>IF(COUNTIF($AG$3:$AG$20,C254)&gt;0,$AG$2,
 IF(COUNTIF($AH$3:$AH$20,C254)&gt;0,$AH$2,
 IF(COUNTIF($AI$3:$AI$20,C254)&gt;0,$AI$2,
 IF(COUNTIF($AJ$3:$AJ$20,C254)&gt;0,$AJ$2,
 IF(COUNTIF($AK$3:$AK$20,C254)&gt;0,$AK$2,
 IF(COUNTIF($AL$3:$AL$20,C254)&gt;0,$AL$2,
 IF(COUNTIF($AM$3:$AM$20,C254)&gt;0,$AM$2,"Not Found")))))))</f>
        <v>Not Found</v>
      </c>
      <c r="E254" s="2" t="s">
        <v>10</v>
      </c>
      <c r="F254" s="2" t="s">
        <v>11</v>
      </c>
      <c r="G254" s="2">
        <v>124</v>
      </c>
      <c r="H254" s="2">
        <v>569</v>
      </c>
      <c r="I254" s="2">
        <v>156</v>
      </c>
      <c r="J254" s="2">
        <v>-791</v>
      </c>
      <c r="K254" s="4">
        <v>0.58099999999999996</v>
      </c>
      <c r="L254" s="4">
        <v>0.34599999999999997</v>
      </c>
      <c r="M254" s="2">
        <v>103.4</v>
      </c>
      <c r="N254" s="2">
        <v>100.4</v>
      </c>
      <c r="O254" s="2">
        <v>97.1</v>
      </c>
      <c r="P254" s="2">
        <v>107.4</v>
      </c>
      <c r="Q254" s="4">
        <v>0.54200000000000004</v>
      </c>
      <c r="R254" s="4">
        <v>0.53100000000000003</v>
      </c>
      <c r="S254" s="4">
        <v>0.51100000000000001</v>
      </c>
      <c r="T254" s="4">
        <v>0.55600000000000005</v>
      </c>
      <c r="U254" s="19">
        <f>Table2[[#This Row],[NET PF]]/Table2[[#This Row],[HOME GAMES]]</f>
        <v>-0.67741935483870963</v>
      </c>
      <c r="V254" s="28">
        <f>393/Table2[[#This Row],[AWAY GAMES]]</f>
        <v>2.5192307692307692</v>
      </c>
      <c r="W254" s="4">
        <v>0.70199999999999996</v>
      </c>
      <c r="X254" s="4">
        <v>0.69899999999999995</v>
      </c>
      <c r="Y254" s="2">
        <v>-84</v>
      </c>
      <c r="Z254" s="2">
        <v>9</v>
      </c>
      <c r="AA254" s="8">
        <f>Table2[[#This Row],[HOME MARGIN]]/Table2[[#This Row],[HOME GAMES]]</f>
        <v>4.588709677419355</v>
      </c>
      <c r="AB254" s="8">
        <f>Table2[[#This Row],[AWAY MARGIN]]/Table2[[#This Row],[AWAY GAMES]]</f>
        <v>-5.0705128205128203</v>
      </c>
      <c r="AC254" s="8">
        <f>Table2[[#This Row],[HOME MARGIN/GAME]]-Table2[[#This Row],[AWAY MARGIN/GAME]]</f>
        <v>9.6592224979321752</v>
      </c>
      <c r="AD254" s="23">
        <f>Table2[[#This Row],[HOME W/L%]]-Table2[[#This Row],[AWAY W/L%]]</f>
        <v>0.23499999999999999</v>
      </c>
      <c r="AE254" s="22"/>
      <c r="AF254"/>
    </row>
    <row r="255" spans="1:32" hidden="1" x14ac:dyDescent="0.2">
      <c r="A255" s="1">
        <v>223</v>
      </c>
      <c r="B255" s="1"/>
      <c r="C255" s="2" t="s">
        <v>297</v>
      </c>
      <c r="D255" s="2" t="str">
        <f>IF(COUNTIF($AG$3:$AG$20,C255)&gt;0,$AG$2,
 IF(COUNTIF($AH$3:$AH$20,C255)&gt;0,$AH$2,
 IF(COUNTIF($AI$3:$AI$20,C255)&gt;0,$AI$2,
 IF(COUNTIF($AJ$3:$AJ$20,C255)&gt;0,$AJ$2,
 IF(COUNTIF($AK$3:$AK$20,C255)&gt;0,$AK$2,
 IF(COUNTIF($AL$3:$AL$20,C255)&gt;0,$AL$2,
 IF(COUNTIF($AM$3:$AM$20,C255)&gt;0,$AM$2,"Not Found")))))))</f>
        <v>Not Found</v>
      </c>
      <c r="E255" s="2" t="s">
        <v>10</v>
      </c>
      <c r="F255" s="2" t="s">
        <v>11</v>
      </c>
      <c r="G255" s="2">
        <v>129</v>
      </c>
      <c r="H255" s="2">
        <v>881</v>
      </c>
      <c r="I255" s="2">
        <v>154</v>
      </c>
      <c r="J255" s="2">
        <v>-1088</v>
      </c>
      <c r="K255" s="4">
        <v>0.61199999999999999</v>
      </c>
      <c r="L255" s="4">
        <v>0.318</v>
      </c>
      <c r="M255" s="2">
        <v>108.4</v>
      </c>
      <c r="N255" s="2">
        <v>97.7</v>
      </c>
      <c r="O255" s="2">
        <v>98.8</v>
      </c>
      <c r="P255" s="2">
        <v>107.7</v>
      </c>
      <c r="Q255" s="4">
        <v>0.56000000000000005</v>
      </c>
      <c r="R255" s="4">
        <v>0.51900000000000002</v>
      </c>
      <c r="S255" s="4">
        <v>0.52200000000000002</v>
      </c>
      <c r="T255" s="4">
        <v>0.55900000000000005</v>
      </c>
      <c r="U255" s="19">
        <f>Table2[[#This Row],[NET PF]]/Table2[[#This Row],[HOME GAMES]]</f>
        <v>-2.1085271317829459</v>
      </c>
      <c r="V255" s="28">
        <f>393/Table2[[#This Row],[AWAY GAMES]]</f>
        <v>2.551948051948052</v>
      </c>
      <c r="W255" s="4">
        <v>0.70599999999999996</v>
      </c>
      <c r="X255" s="4">
        <v>0.71599999999999997</v>
      </c>
      <c r="Y255" s="2">
        <v>-272</v>
      </c>
      <c r="Z255" s="2">
        <v>3</v>
      </c>
      <c r="AA255" s="8">
        <f>Table2[[#This Row],[HOME MARGIN]]/Table2[[#This Row],[HOME GAMES]]</f>
        <v>6.829457364341085</v>
      </c>
      <c r="AB255" s="8">
        <f>Table2[[#This Row],[AWAY MARGIN]]/Table2[[#This Row],[AWAY GAMES]]</f>
        <v>-7.0649350649350646</v>
      </c>
      <c r="AC255" s="8">
        <f>Table2[[#This Row],[HOME MARGIN/GAME]]-Table2[[#This Row],[AWAY MARGIN/GAME]]</f>
        <v>13.894392429276149</v>
      </c>
      <c r="AD255" s="23">
        <f>Table2[[#This Row],[HOME W/L%]]-Table2[[#This Row],[AWAY W/L%]]</f>
        <v>0.29399999999999998</v>
      </c>
      <c r="AE255" s="22"/>
      <c r="AF255"/>
    </row>
    <row r="256" spans="1:32" hidden="1" x14ac:dyDescent="0.2">
      <c r="A256" s="1">
        <v>281</v>
      </c>
      <c r="B256" s="1"/>
      <c r="C256" s="2" t="s">
        <v>181</v>
      </c>
      <c r="D256" s="2" t="str">
        <f>IF(COUNTIF($AG$3:$AG$20,C256)&gt;0,$AG$2,
 IF(COUNTIF($AH$3:$AH$20,C256)&gt;0,$AH$2,
 IF(COUNTIF($AI$3:$AI$20,C256)&gt;0,$AI$2,
 IF(COUNTIF($AJ$3:$AJ$20,C256)&gt;0,$AJ$2,
 IF(COUNTIF($AK$3:$AK$20,C256)&gt;0,$AK$2,
 IF(COUNTIF($AL$3:$AL$20,C256)&gt;0,$AL$2,
 IF(COUNTIF($AM$3:$AM$20,C256)&gt;0,$AM$2,"Not Found")))))))</f>
        <v>Not Found</v>
      </c>
      <c r="E256" s="2" t="s">
        <v>10</v>
      </c>
      <c r="F256" s="2" t="s">
        <v>11</v>
      </c>
      <c r="G256" s="2">
        <v>144</v>
      </c>
      <c r="H256" s="2">
        <v>569</v>
      </c>
      <c r="I256" s="2">
        <v>119</v>
      </c>
      <c r="J256" s="2">
        <v>-543</v>
      </c>
      <c r="K256" s="4">
        <v>0.63200000000000001</v>
      </c>
      <c r="L256" s="4">
        <v>0.29399999999999998</v>
      </c>
      <c r="M256" s="2">
        <v>103.4</v>
      </c>
      <c r="N256" s="2">
        <v>99.6</v>
      </c>
      <c r="O256" s="2">
        <v>97.9</v>
      </c>
      <c r="P256" s="2">
        <v>106</v>
      </c>
      <c r="Q256" s="4">
        <v>0.53700000000000003</v>
      </c>
      <c r="R256" s="4">
        <v>0.52300000000000002</v>
      </c>
      <c r="S256" s="4">
        <v>0.51300000000000001</v>
      </c>
      <c r="T256" s="4">
        <v>0.55200000000000005</v>
      </c>
      <c r="U256" s="19">
        <f>Table2[[#This Row],[NET PF]]/Table2[[#This Row],[HOME GAMES]]</f>
        <v>-2.4791666666666665</v>
      </c>
      <c r="V256" s="28">
        <f>393/Table2[[#This Row],[AWAY GAMES]]</f>
        <v>3.3025210084033612</v>
      </c>
      <c r="W256" s="4">
        <v>0.71499999999999997</v>
      </c>
      <c r="X256" s="4">
        <v>0.71499999999999997</v>
      </c>
      <c r="Y256" s="2">
        <v>-357</v>
      </c>
      <c r="Z256" s="2">
        <v>87</v>
      </c>
      <c r="AA256" s="8">
        <f>Table2[[#This Row],[HOME MARGIN]]/Table2[[#This Row],[HOME GAMES]]</f>
        <v>3.9513888888888888</v>
      </c>
      <c r="AB256" s="8">
        <f>Table2[[#This Row],[AWAY MARGIN]]/Table2[[#This Row],[AWAY GAMES]]</f>
        <v>-4.5630252100840334</v>
      </c>
      <c r="AC256" s="8">
        <f>Table2[[#This Row],[HOME MARGIN/GAME]]-Table2[[#This Row],[AWAY MARGIN/GAME]]</f>
        <v>8.5144140989729227</v>
      </c>
      <c r="AD256" s="23">
        <f>Table2[[#This Row],[HOME W/L%]]-Table2[[#This Row],[AWAY W/L%]]</f>
        <v>0.33800000000000002</v>
      </c>
      <c r="AE256" s="22"/>
      <c r="AF256"/>
    </row>
    <row r="257" spans="1:32" hidden="1" x14ac:dyDescent="0.2">
      <c r="A257" s="1">
        <v>160</v>
      </c>
      <c r="B257" s="1"/>
      <c r="C257" s="2" t="s">
        <v>189</v>
      </c>
      <c r="D257" s="2" t="str">
        <f>IF(COUNTIF($AG$3:$AG$20,C257)&gt;0,$AG$2,
 IF(COUNTIF($AH$3:$AH$20,C257)&gt;0,$AH$2,
 IF(COUNTIF($AI$3:$AI$20,C257)&gt;0,$AI$2,
 IF(COUNTIF($AJ$3:$AJ$20,C257)&gt;0,$AJ$2,
 IF(COUNTIF($AK$3:$AK$20,C257)&gt;0,$AK$2,
 IF(COUNTIF($AL$3:$AL$20,C257)&gt;0,$AL$2,
 IF(COUNTIF($AM$3:$AM$20,C257)&gt;0,$AM$2,"Not Found")))))))</f>
        <v>Not Found</v>
      </c>
      <c r="E257" s="2" t="s">
        <v>10</v>
      </c>
      <c r="F257" s="2" t="s">
        <v>11</v>
      </c>
      <c r="G257" s="2">
        <v>171</v>
      </c>
      <c r="H257" s="2">
        <v>1201</v>
      </c>
      <c r="I257" s="2">
        <v>105</v>
      </c>
      <c r="J257" s="2">
        <v>-581</v>
      </c>
      <c r="K257" s="4">
        <v>0.71299999999999997</v>
      </c>
      <c r="L257" s="4">
        <v>0.32400000000000001</v>
      </c>
      <c r="M257" s="2">
        <v>105.3</v>
      </c>
      <c r="N257" s="2">
        <v>96.3</v>
      </c>
      <c r="O257" s="2">
        <v>95.3</v>
      </c>
      <c r="P257" s="2">
        <v>104.3</v>
      </c>
      <c r="Q257" s="4">
        <v>0.54800000000000004</v>
      </c>
      <c r="R257" s="4">
        <v>0.51200000000000001</v>
      </c>
      <c r="S257" s="4">
        <v>0.50700000000000001</v>
      </c>
      <c r="T257" s="4">
        <v>0.54700000000000004</v>
      </c>
      <c r="U257" s="19">
        <f>Table2[[#This Row],[NET PF]]/Table2[[#This Row],[HOME GAMES]]</f>
        <v>-2.1754385964912282</v>
      </c>
      <c r="V257" s="28">
        <f>393/Table2[[#This Row],[AWAY GAMES]]</f>
        <v>3.7428571428571429</v>
      </c>
      <c r="W257" s="4">
        <v>0.71</v>
      </c>
      <c r="X257" s="4">
        <v>0.70399999999999996</v>
      </c>
      <c r="Y257" s="2">
        <v>-372</v>
      </c>
      <c r="Z257" s="2">
        <v>301</v>
      </c>
      <c r="AA257" s="8">
        <f>Table2[[#This Row],[HOME MARGIN]]/Table2[[#This Row],[HOME GAMES]]</f>
        <v>7.0233918128654969</v>
      </c>
      <c r="AB257" s="8">
        <f>Table2[[#This Row],[AWAY MARGIN]]/Table2[[#This Row],[AWAY GAMES]]</f>
        <v>-5.5333333333333332</v>
      </c>
      <c r="AC257" s="8">
        <f>Table2[[#This Row],[HOME MARGIN/GAME]]-Table2[[#This Row],[AWAY MARGIN/GAME]]</f>
        <v>12.556725146198829</v>
      </c>
      <c r="AD257" s="23">
        <f>Table2[[#This Row],[HOME W/L%]]-Table2[[#This Row],[AWAY W/L%]]</f>
        <v>0.38899999999999996</v>
      </c>
      <c r="AE257" s="22"/>
      <c r="AF257"/>
    </row>
    <row r="258" spans="1:32" hidden="1" x14ac:dyDescent="0.2">
      <c r="A258" s="1">
        <v>276</v>
      </c>
      <c r="B258" s="1"/>
      <c r="C258" s="2" t="s">
        <v>185</v>
      </c>
      <c r="D258" s="2" t="str">
        <f>IF(COUNTIF($AG$3:$AG$20,C258)&gt;0,$AG$2,
 IF(COUNTIF($AH$3:$AH$20,C258)&gt;0,$AH$2,
 IF(COUNTIF($AI$3:$AI$20,C258)&gt;0,$AI$2,
 IF(COUNTIF($AJ$3:$AJ$20,C258)&gt;0,$AJ$2,
 IF(COUNTIF($AK$3:$AK$20,C258)&gt;0,$AK$2,
 IF(COUNTIF($AL$3:$AL$20,C258)&gt;0,$AL$2,
 IF(COUNTIF($AM$3:$AM$20,C258)&gt;0,$AM$2,"Not Found")))))))</f>
        <v>Not Found</v>
      </c>
      <c r="E258" s="2" t="s">
        <v>10</v>
      </c>
      <c r="F258" s="2" t="s">
        <v>11</v>
      </c>
      <c r="G258" s="2">
        <v>131</v>
      </c>
      <c r="H258" s="2">
        <v>590</v>
      </c>
      <c r="I258" s="2">
        <v>148</v>
      </c>
      <c r="J258" s="2">
        <v>-562</v>
      </c>
      <c r="K258" s="4">
        <v>0.626</v>
      </c>
      <c r="L258" s="4">
        <v>0.35799999999999998</v>
      </c>
      <c r="M258" s="2">
        <v>99.7</v>
      </c>
      <c r="N258" s="2">
        <v>93.5</v>
      </c>
      <c r="O258" s="2">
        <v>93.1</v>
      </c>
      <c r="P258" s="2">
        <v>99.2</v>
      </c>
      <c r="Q258" s="4">
        <v>0.51700000000000002</v>
      </c>
      <c r="R258" s="4">
        <v>0.5</v>
      </c>
      <c r="S258" s="4">
        <v>0.505</v>
      </c>
      <c r="T258" s="4">
        <v>0.53200000000000003</v>
      </c>
      <c r="U258" s="19">
        <f>Table2[[#This Row],[NET PF]]/Table2[[#This Row],[HOME GAMES]]</f>
        <v>0.50381679389312972</v>
      </c>
      <c r="V258" s="28">
        <f>393/Table2[[#This Row],[AWAY GAMES]]</f>
        <v>2.6554054054054053</v>
      </c>
      <c r="W258" s="4">
        <v>0.70099999999999996</v>
      </c>
      <c r="X258" s="4">
        <v>0.72199999999999998</v>
      </c>
      <c r="Y258" s="2">
        <v>66</v>
      </c>
      <c r="Z258" s="2">
        <v>426</v>
      </c>
      <c r="AA258" s="8">
        <f>Table2[[#This Row],[HOME MARGIN]]/Table2[[#This Row],[HOME GAMES]]</f>
        <v>4.5038167938931295</v>
      </c>
      <c r="AB258" s="8">
        <f>Table2[[#This Row],[AWAY MARGIN]]/Table2[[#This Row],[AWAY GAMES]]</f>
        <v>-3.7972972972972974</v>
      </c>
      <c r="AC258" s="8">
        <f>Table2[[#This Row],[HOME MARGIN/GAME]]-Table2[[#This Row],[AWAY MARGIN/GAME]]</f>
        <v>8.3011140911904278</v>
      </c>
      <c r="AD258" s="23">
        <f>Table2[[#This Row],[HOME W/L%]]-Table2[[#This Row],[AWAY W/L%]]</f>
        <v>0.26800000000000002</v>
      </c>
      <c r="AE258" s="22"/>
      <c r="AF258"/>
    </row>
    <row r="259" spans="1:32" hidden="1" x14ac:dyDescent="0.2">
      <c r="A259" s="1">
        <v>34</v>
      </c>
      <c r="B259" s="1"/>
      <c r="C259" s="2" t="s">
        <v>163</v>
      </c>
      <c r="D259" s="2" t="str">
        <f>IF(COUNTIF($AG$3:$AG$20,C259)&gt;0,$AG$2,
 IF(COUNTIF($AH$3:$AH$20,C259)&gt;0,$AH$2,
 IF(COUNTIF($AI$3:$AI$20,C259)&gt;0,$AI$2,
 IF(COUNTIF($AJ$3:$AJ$20,C259)&gt;0,$AJ$2,
 IF(COUNTIF($AK$3:$AK$20,C259)&gt;0,$AK$2,
 IF(COUNTIF($AL$3:$AL$20,C259)&gt;0,$AL$2,
 IF(COUNTIF($AM$3:$AM$20,C259)&gt;0,$AM$2,"Not Found")))))))</f>
        <v>Not Found</v>
      </c>
      <c r="E259" s="2" t="s">
        <v>10</v>
      </c>
      <c r="F259" s="2" t="s">
        <v>11</v>
      </c>
      <c r="G259" s="2">
        <v>140</v>
      </c>
      <c r="H259" s="2">
        <v>2078</v>
      </c>
      <c r="I259" s="2">
        <v>147</v>
      </c>
      <c r="J259" s="2">
        <v>-488</v>
      </c>
      <c r="K259" s="4">
        <v>0.83599999999999997</v>
      </c>
      <c r="L259" s="4">
        <v>0.41499999999999998</v>
      </c>
      <c r="M259" s="2">
        <v>109.3</v>
      </c>
      <c r="N259" s="2">
        <v>97.7</v>
      </c>
      <c r="O259" s="2">
        <v>89</v>
      </c>
      <c r="P259" s="2">
        <v>102.3</v>
      </c>
      <c r="Q259" s="4">
        <v>0.56399999999999995</v>
      </c>
      <c r="R259" s="4">
        <v>0.51500000000000001</v>
      </c>
      <c r="S259" s="4">
        <v>0.504</v>
      </c>
      <c r="T259" s="4">
        <v>0.55600000000000005</v>
      </c>
      <c r="U259" s="19">
        <f>Table2[[#This Row],[NET PF]]/Table2[[#This Row],[HOME GAMES]]</f>
        <v>-0.4</v>
      </c>
      <c r="V259" s="28">
        <f>393/Table2[[#This Row],[AWAY GAMES]]</f>
        <v>2.6734693877551021</v>
      </c>
      <c r="W259" s="4">
        <v>0.70799999999999996</v>
      </c>
      <c r="X259" s="4">
        <v>0.71699999999999997</v>
      </c>
      <c r="Y259" s="2">
        <v>-56</v>
      </c>
      <c r="Z259" s="2">
        <v>414</v>
      </c>
      <c r="AA259" s="8">
        <f>Table2[[#This Row],[HOME MARGIN]]/Table2[[#This Row],[HOME GAMES]]</f>
        <v>14.842857142857143</v>
      </c>
      <c r="AB259" s="8">
        <f>Table2[[#This Row],[AWAY MARGIN]]/Table2[[#This Row],[AWAY GAMES]]</f>
        <v>-3.3197278911564627</v>
      </c>
      <c r="AC259" s="8">
        <f>Table2[[#This Row],[HOME MARGIN/GAME]]-Table2[[#This Row],[AWAY MARGIN/GAME]]</f>
        <v>18.162585034013606</v>
      </c>
      <c r="AD259" s="23">
        <f>Table2[[#This Row],[HOME W/L%]]-Table2[[#This Row],[AWAY W/L%]]</f>
        <v>0.42099999999999999</v>
      </c>
      <c r="AE259" s="22"/>
      <c r="AF259"/>
    </row>
    <row r="260" spans="1:32" hidden="1" x14ac:dyDescent="0.2">
      <c r="A260" s="1">
        <v>129</v>
      </c>
      <c r="B260" s="1"/>
      <c r="C260" s="2" t="s">
        <v>374</v>
      </c>
      <c r="D260" s="2" t="str">
        <f>IF(COUNTIF($AG$3:$AG$20,C260)&gt;0,$AG$2,
 IF(COUNTIF($AH$3:$AH$20,C260)&gt;0,$AH$2,
 IF(COUNTIF($AI$3:$AI$20,C260)&gt;0,$AI$2,
 IF(COUNTIF($AJ$3:$AJ$20,C260)&gt;0,$AJ$2,
 IF(COUNTIF($AK$3:$AK$20,C260)&gt;0,$AK$2,
 IF(COUNTIF($AL$3:$AL$20,C260)&gt;0,$AL$2,
 IF(COUNTIF($AM$3:$AM$20,C260)&gt;0,$AM$2,"Not Found")))))))</f>
        <v>Not Found</v>
      </c>
      <c r="E260" s="2" t="s">
        <v>10</v>
      </c>
      <c r="F260" s="2" t="s">
        <v>11</v>
      </c>
      <c r="G260" s="2">
        <v>148</v>
      </c>
      <c r="H260" s="2">
        <v>1363</v>
      </c>
      <c r="I260" s="2">
        <v>144</v>
      </c>
      <c r="J260" s="2">
        <v>-704</v>
      </c>
      <c r="K260" s="4">
        <v>0.68899999999999995</v>
      </c>
      <c r="L260" s="4">
        <v>0.38200000000000001</v>
      </c>
      <c r="M260" s="2">
        <v>111.1</v>
      </c>
      <c r="N260" s="2">
        <v>101</v>
      </c>
      <c r="O260" s="2">
        <v>98.8</v>
      </c>
      <c r="P260" s="2">
        <v>107.7</v>
      </c>
      <c r="Q260" s="4">
        <v>0.58499999999999996</v>
      </c>
      <c r="R260" s="4">
        <v>0.54400000000000004</v>
      </c>
      <c r="S260" s="4">
        <v>0.53800000000000003</v>
      </c>
      <c r="T260" s="4">
        <v>0.56100000000000005</v>
      </c>
      <c r="U260" s="19">
        <f>Table2[[#This Row],[NET PF]]/Table2[[#This Row],[HOME GAMES]]</f>
        <v>-1.25</v>
      </c>
      <c r="V260" s="28">
        <f>393/Table2[[#This Row],[AWAY GAMES]]</f>
        <v>2.7291666666666665</v>
      </c>
      <c r="W260" s="4">
        <v>0.70499999999999996</v>
      </c>
      <c r="X260" s="4">
        <v>0.70899999999999996</v>
      </c>
      <c r="Y260" s="2">
        <v>-185</v>
      </c>
      <c r="Z260" s="2">
        <v>142</v>
      </c>
      <c r="AA260" s="8">
        <f>Table2[[#This Row],[HOME MARGIN]]/Table2[[#This Row],[HOME GAMES]]</f>
        <v>9.2094594594594597</v>
      </c>
      <c r="AB260" s="8">
        <f>Table2[[#This Row],[AWAY MARGIN]]/Table2[[#This Row],[AWAY GAMES]]</f>
        <v>-4.8888888888888893</v>
      </c>
      <c r="AC260" s="8">
        <f>Table2[[#This Row],[HOME MARGIN/GAME]]-Table2[[#This Row],[AWAY MARGIN/GAME]]</f>
        <v>14.098348348348349</v>
      </c>
      <c r="AD260" s="23">
        <f>Table2[[#This Row],[HOME W/L%]]-Table2[[#This Row],[AWAY W/L%]]</f>
        <v>0.30699999999999994</v>
      </c>
      <c r="AE260" s="22"/>
      <c r="AF260"/>
    </row>
    <row r="261" spans="1:32" hidden="1" x14ac:dyDescent="0.2">
      <c r="A261" s="1">
        <v>360</v>
      </c>
      <c r="B261" s="1"/>
      <c r="C261" s="2" t="s">
        <v>314</v>
      </c>
      <c r="D261" s="2" t="str">
        <f>IF(COUNTIF($AG$3:$AG$20,C261)&gt;0,$AG$2,
 IF(COUNTIF($AH$3:$AH$20,C261)&gt;0,$AH$2,
 IF(COUNTIF($AI$3:$AI$20,C261)&gt;0,$AI$2,
 IF(COUNTIF($AJ$3:$AJ$20,C261)&gt;0,$AJ$2,
 IF(COUNTIF($AK$3:$AK$20,C261)&gt;0,$AK$2,
 IF(COUNTIF($AL$3:$AL$20,C261)&gt;0,$AL$2,
 IF(COUNTIF($AM$3:$AM$20,C261)&gt;0,$AM$2,"Not Found")))))))</f>
        <v>Not Found</v>
      </c>
      <c r="E261" s="2" t="s">
        <v>10</v>
      </c>
      <c r="F261" s="2" t="s">
        <v>11</v>
      </c>
      <c r="G261" s="2">
        <v>149</v>
      </c>
      <c r="H261" s="2">
        <v>-72</v>
      </c>
      <c r="I261" s="2">
        <v>120</v>
      </c>
      <c r="J261" s="2">
        <v>-989</v>
      </c>
      <c r="K261" s="4">
        <v>0.497</v>
      </c>
      <c r="L261" s="4">
        <v>0.317</v>
      </c>
      <c r="M261" s="2">
        <v>99.4</v>
      </c>
      <c r="N261" s="2">
        <v>96.4</v>
      </c>
      <c r="O261" s="2">
        <v>100.1</v>
      </c>
      <c r="P261" s="2">
        <v>108.1</v>
      </c>
      <c r="Q261" s="4">
        <v>0.52700000000000002</v>
      </c>
      <c r="R261" s="4">
        <v>0.52</v>
      </c>
      <c r="S261" s="4">
        <v>0.53300000000000003</v>
      </c>
      <c r="T261" s="4">
        <v>0.56599999999999995</v>
      </c>
      <c r="U261" s="19">
        <f>Table2[[#This Row],[NET PF]]/Table2[[#This Row],[HOME GAMES]]</f>
        <v>7.3825503355704702E-2</v>
      </c>
      <c r="V261" s="28">
        <f>393/Table2[[#This Row],[AWAY GAMES]]</f>
        <v>3.2749999999999999</v>
      </c>
      <c r="W261" s="4">
        <v>0.7</v>
      </c>
      <c r="X261" s="4">
        <v>0.72099999999999997</v>
      </c>
      <c r="Y261" s="2">
        <v>11</v>
      </c>
      <c r="Z261" s="2">
        <v>264</v>
      </c>
      <c r="AA261" s="8">
        <f>Table2[[#This Row],[HOME MARGIN]]/Table2[[#This Row],[HOME GAMES]]</f>
        <v>-0.48322147651006714</v>
      </c>
      <c r="AB261" s="8">
        <f>Table2[[#This Row],[AWAY MARGIN]]/Table2[[#This Row],[AWAY GAMES]]</f>
        <v>-8.2416666666666671</v>
      </c>
      <c r="AC261" s="8">
        <f>Table2[[#This Row],[HOME MARGIN/GAME]]-Table2[[#This Row],[AWAY MARGIN/GAME]]</f>
        <v>7.7584451901565998</v>
      </c>
      <c r="AD261" s="23">
        <f>Table2[[#This Row],[HOME W/L%]]-Table2[[#This Row],[AWAY W/L%]]</f>
        <v>0.18</v>
      </c>
      <c r="AE261" s="22"/>
      <c r="AF261"/>
    </row>
    <row r="262" spans="1:32" hidden="1" x14ac:dyDescent="0.2">
      <c r="A262" s="1">
        <v>24</v>
      </c>
      <c r="B262" s="1"/>
      <c r="C262" s="2" t="s">
        <v>21</v>
      </c>
      <c r="D262" s="2" t="str">
        <f>IF(COUNTIF($AG$3:$AG$20,C262)&gt;0,$AG$2,
 IF(COUNTIF($AH$3:$AH$20,C262)&gt;0,$AH$2,
 IF(COUNTIF($AI$3:$AI$20,C262)&gt;0,$AI$2,
 IF(COUNTIF($AJ$3:$AJ$20,C262)&gt;0,$AJ$2,
 IF(COUNTIF($AK$3:$AK$20,C262)&gt;0,$AK$2,
 IF(COUNTIF($AL$3:$AL$20,C262)&gt;0,$AL$2,
 IF(COUNTIF($AM$3:$AM$20,C262)&gt;0,$AM$2,"Not Found")))))))</f>
        <v>Not Found</v>
      </c>
      <c r="E262" s="2" t="s">
        <v>10</v>
      </c>
      <c r="F262" s="2" t="s">
        <v>11</v>
      </c>
      <c r="G262" s="2">
        <v>154</v>
      </c>
      <c r="H262" s="2">
        <v>2183</v>
      </c>
      <c r="I262" s="2">
        <v>108</v>
      </c>
      <c r="J262" s="2">
        <v>280</v>
      </c>
      <c r="K262" s="4">
        <v>0.85699999999999998</v>
      </c>
      <c r="L262" s="4">
        <v>0.57399999999999995</v>
      </c>
      <c r="M262" s="2">
        <v>107.4</v>
      </c>
      <c r="N262" s="2">
        <v>102.4</v>
      </c>
      <c r="O262" s="2">
        <v>87</v>
      </c>
      <c r="P262" s="2">
        <v>98.6</v>
      </c>
      <c r="Q262" s="4">
        <v>0.55500000000000005</v>
      </c>
      <c r="R262" s="4">
        <v>0.53</v>
      </c>
      <c r="S262" s="4">
        <v>0.48</v>
      </c>
      <c r="T262" s="4">
        <v>0.51900000000000002</v>
      </c>
      <c r="U262" s="19">
        <f>Table2[[#This Row],[NET PF]]/Table2[[#This Row],[HOME GAMES]]</f>
        <v>-2.5584415584415585</v>
      </c>
      <c r="V262" s="28">
        <f>393/Table2[[#This Row],[AWAY GAMES]]</f>
        <v>3.6388888888888888</v>
      </c>
      <c r="W262" s="4">
        <v>0.71899999999999997</v>
      </c>
      <c r="X262" s="4">
        <v>0.70899999999999996</v>
      </c>
      <c r="Y262" s="2">
        <v>-394</v>
      </c>
      <c r="Z262" s="2">
        <v>147</v>
      </c>
      <c r="AA262" s="8">
        <f>Table2[[#This Row],[HOME MARGIN]]/Table2[[#This Row],[HOME GAMES]]</f>
        <v>14.175324675324676</v>
      </c>
      <c r="AB262" s="8">
        <f>Table2[[#This Row],[AWAY MARGIN]]/Table2[[#This Row],[AWAY GAMES]]</f>
        <v>2.5925925925925926</v>
      </c>
      <c r="AC262" s="8">
        <f>Table2[[#This Row],[HOME MARGIN/GAME]]-Table2[[#This Row],[AWAY MARGIN/GAME]]</f>
        <v>11.582732082732083</v>
      </c>
      <c r="AD262" s="23">
        <f>Table2[[#This Row],[HOME W/L%]]-Table2[[#This Row],[AWAY W/L%]]</f>
        <v>0.28300000000000003</v>
      </c>
      <c r="AE262" s="22"/>
      <c r="AF262"/>
    </row>
    <row r="263" spans="1:32" hidden="1" x14ac:dyDescent="0.2">
      <c r="A263" s="1">
        <v>99</v>
      </c>
      <c r="B263" s="1"/>
      <c r="C263" s="2" t="s">
        <v>51</v>
      </c>
      <c r="D263" s="2" t="str">
        <f>IF(COUNTIF($AG$3:$AG$20,C263)&gt;0,$AG$2,
 IF(COUNTIF($AH$3:$AH$20,C263)&gt;0,$AH$2,
 IF(COUNTIF($AI$3:$AI$20,C263)&gt;0,$AI$2,
 IF(COUNTIF($AJ$3:$AJ$20,C263)&gt;0,$AJ$2,
 IF(COUNTIF($AK$3:$AK$20,C263)&gt;0,$AK$2,
 IF(COUNTIF($AL$3:$AL$20,C263)&gt;0,$AL$2,
 IF(COUNTIF($AM$3:$AM$20,C263)&gt;0,$AM$2,"Not Found")))))))</f>
        <v>Not Found</v>
      </c>
      <c r="E263" s="2" t="s">
        <v>10</v>
      </c>
      <c r="F263" s="2" t="s">
        <v>11</v>
      </c>
      <c r="G263" s="2">
        <v>160</v>
      </c>
      <c r="H263" s="2">
        <v>1534</v>
      </c>
      <c r="I263" s="2">
        <v>109</v>
      </c>
      <c r="J263" s="2">
        <v>17</v>
      </c>
      <c r="K263" s="4">
        <v>0.73099999999999998</v>
      </c>
      <c r="L263" s="4">
        <v>0.495</v>
      </c>
      <c r="M263" s="2">
        <v>110</v>
      </c>
      <c r="N263" s="2">
        <v>101.8</v>
      </c>
      <c r="O263" s="2">
        <v>96.5</v>
      </c>
      <c r="P263" s="2">
        <v>101.5</v>
      </c>
      <c r="Q263" s="4">
        <v>0.56599999999999995</v>
      </c>
      <c r="R263" s="4">
        <v>0.53300000000000003</v>
      </c>
      <c r="S263" s="4">
        <v>0.52300000000000002</v>
      </c>
      <c r="T263" s="4">
        <v>0.54200000000000004</v>
      </c>
      <c r="U263" s="19">
        <f>Table2[[#This Row],[NET PF]]/Table2[[#This Row],[HOME GAMES]]</f>
        <v>0.10625</v>
      </c>
      <c r="V263" s="28">
        <f>393/Table2[[#This Row],[AWAY GAMES]]</f>
        <v>3.6055045871559632</v>
      </c>
      <c r="W263" s="4">
        <v>0.72599999999999998</v>
      </c>
      <c r="X263" s="4">
        <v>0.72499999999999998</v>
      </c>
      <c r="Y263" s="2">
        <v>17</v>
      </c>
      <c r="Z263" s="2">
        <v>347</v>
      </c>
      <c r="AA263" s="8">
        <f>Table2[[#This Row],[HOME MARGIN]]/Table2[[#This Row],[HOME GAMES]]</f>
        <v>9.5875000000000004</v>
      </c>
      <c r="AB263" s="8">
        <f>Table2[[#This Row],[AWAY MARGIN]]/Table2[[#This Row],[AWAY GAMES]]</f>
        <v>0.15596330275229359</v>
      </c>
      <c r="AC263" s="8">
        <f>Table2[[#This Row],[HOME MARGIN/GAME]]-Table2[[#This Row],[AWAY MARGIN/GAME]]</f>
        <v>9.4315366972477062</v>
      </c>
      <c r="AD263" s="23">
        <f>Table2[[#This Row],[HOME W/L%]]-Table2[[#This Row],[AWAY W/L%]]</f>
        <v>0.23599999999999999</v>
      </c>
      <c r="AE263" s="22"/>
      <c r="AF263"/>
    </row>
    <row r="264" spans="1:32" hidden="1" x14ac:dyDescent="0.2">
      <c r="A264" s="1">
        <v>363</v>
      </c>
      <c r="B264" s="1"/>
      <c r="C264" s="2" t="s">
        <v>236</v>
      </c>
      <c r="D264" s="2" t="str">
        <f>IF(COUNTIF($AG$3:$AG$20,C264)&gt;0,$AG$2,
 IF(COUNTIF($AH$3:$AH$20,C264)&gt;0,$AH$2,
 IF(COUNTIF($AI$3:$AI$20,C264)&gt;0,$AI$2,
 IF(COUNTIF($AJ$3:$AJ$20,C264)&gt;0,$AJ$2,
 IF(COUNTIF($AK$3:$AK$20,C264)&gt;0,$AK$2,
 IF(COUNTIF($AL$3:$AL$20,C264)&gt;0,$AL$2,
 IF(COUNTIF($AM$3:$AM$20,C264)&gt;0,$AM$2,"Not Found")))))))</f>
        <v>Not Found</v>
      </c>
      <c r="E264" s="2" t="s">
        <v>10</v>
      </c>
      <c r="F264" s="2" t="s">
        <v>11</v>
      </c>
      <c r="G264" s="2">
        <v>146</v>
      </c>
      <c r="H264" s="2">
        <v>-187</v>
      </c>
      <c r="I264" s="2">
        <v>127</v>
      </c>
      <c r="J264" s="2">
        <v>-1733</v>
      </c>
      <c r="K264" s="4">
        <v>0.44500000000000001</v>
      </c>
      <c r="L264" s="4">
        <v>0.14199999999999999</v>
      </c>
      <c r="M264" s="2">
        <v>99.4</v>
      </c>
      <c r="N264" s="2">
        <v>93.7</v>
      </c>
      <c r="O264" s="2">
        <v>101.2</v>
      </c>
      <c r="P264" s="2">
        <v>113.2</v>
      </c>
      <c r="Q264" s="4">
        <v>0.53</v>
      </c>
      <c r="R264" s="4">
        <v>0.50600000000000001</v>
      </c>
      <c r="S264" s="4">
        <v>0.53</v>
      </c>
      <c r="T264" s="4">
        <v>0.57699999999999996</v>
      </c>
      <c r="U264" s="19">
        <f>Table2[[#This Row],[NET PF]]/Table2[[#This Row],[HOME GAMES]]</f>
        <v>-0.57534246575342463</v>
      </c>
      <c r="V264" s="28">
        <f>393/Table2[[#This Row],[AWAY GAMES]]</f>
        <v>3.0944881889763778</v>
      </c>
      <c r="W264" s="4">
        <v>0.69699999999999995</v>
      </c>
      <c r="X264" s="4">
        <v>0.72599999999999998</v>
      </c>
      <c r="Y264" s="2">
        <v>-84</v>
      </c>
      <c r="Z264" s="2">
        <v>228</v>
      </c>
      <c r="AA264" s="8">
        <f>Table2[[#This Row],[HOME MARGIN]]/Table2[[#This Row],[HOME GAMES]]</f>
        <v>-1.2808219178082192</v>
      </c>
      <c r="AB264" s="8">
        <f>Table2[[#This Row],[AWAY MARGIN]]/Table2[[#This Row],[AWAY GAMES]]</f>
        <v>-13.645669291338583</v>
      </c>
      <c r="AC264" s="8">
        <f>Table2[[#This Row],[HOME MARGIN/GAME]]-Table2[[#This Row],[AWAY MARGIN/GAME]]</f>
        <v>12.364847373530363</v>
      </c>
      <c r="AD264" s="23">
        <f>Table2[[#This Row],[HOME W/L%]]-Table2[[#This Row],[AWAY W/L%]]</f>
        <v>0.30300000000000005</v>
      </c>
      <c r="AE264" s="22"/>
      <c r="AF264"/>
    </row>
    <row r="265" spans="1:32" hidden="1" x14ac:dyDescent="0.2">
      <c r="A265" s="1">
        <v>224</v>
      </c>
      <c r="B265" s="1"/>
      <c r="C265" s="2" t="s">
        <v>116</v>
      </c>
      <c r="D265" s="2" t="str">
        <f>IF(COUNTIF($AG$3:$AG$20,C265)&gt;0,$AG$2,
 IF(COUNTIF($AH$3:$AH$20,C265)&gt;0,$AH$2,
 IF(COUNTIF($AI$3:$AI$20,C265)&gt;0,$AI$2,
 IF(COUNTIF($AJ$3:$AJ$20,C265)&gt;0,$AJ$2,
 IF(COUNTIF($AK$3:$AK$20,C265)&gt;0,$AK$2,
 IF(COUNTIF($AL$3:$AL$20,C265)&gt;0,$AL$2,
 IF(COUNTIF($AM$3:$AM$20,C265)&gt;0,$AM$2,"Not Found")))))))</f>
        <v>Not Found</v>
      </c>
      <c r="E265" s="2" t="s">
        <v>10</v>
      </c>
      <c r="F265" s="2" t="s">
        <v>11</v>
      </c>
      <c r="G265" s="2">
        <v>162</v>
      </c>
      <c r="H265" s="2">
        <v>867</v>
      </c>
      <c r="I265" s="2">
        <v>102</v>
      </c>
      <c r="J265" s="2">
        <v>-319</v>
      </c>
      <c r="K265" s="4">
        <v>0.66</v>
      </c>
      <c r="L265" s="4">
        <v>0.45100000000000001</v>
      </c>
      <c r="M265" s="2">
        <v>105.1</v>
      </c>
      <c r="N265" s="2">
        <v>102</v>
      </c>
      <c r="O265" s="2">
        <v>97.5</v>
      </c>
      <c r="P265" s="2">
        <v>106.5</v>
      </c>
      <c r="Q265" s="4">
        <v>0.56000000000000005</v>
      </c>
      <c r="R265" s="4">
        <v>0.54300000000000004</v>
      </c>
      <c r="S265" s="4">
        <v>0.51800000000000002</v>
      </c>
      <c r="T265" s="4">
        <v>0.54800000000000004</v>
      </c>
      <c r="U265" s="19">
        <f>Table2[[#This Row],[NET PF]]/Table2[[#This Row],[HOME GAMES]]</f>
        <v>-0.76543209876543206</v>
      </c>
      <c r="V265" s="28">
        <f>393/Table2[[#This Row],[AWAY GAMES]]</f>
        <v>3.8529411764705883</v>
      </c>
      <c r="W265" s="4">
        <v>0.71599999999999997</v>
      </c>
      <c r="X265" s="4">
        <v>0.72599999999999998</v>
      </c>
      <c r="Y265" s="2">
        <v>-124</v>
      </c>
      <c r="Z265" s="2">
        <v>164</v>
      </c>
      <c r="AA265" s="8">
        <f>Table2[[#This Row],[HOME MARGIN]]/Table2[[#This Row],[HOME GAMES]]</f>
        <v>5.3518518518518521</v>
      </c>
      <c r="AB265" s="8">
        <f>Table2[[#This Row],[AWAY MARGIN]]/Table2[[#This Row],[AWAY GAMES]]</f>
        <v>-3.1274509803921569</v>
      </c>
      <c r="AC265" s="8">
        <f>Table2[[#This Row],[HOME MARGIN/GAME]]-Table2[[#This Row],[AWAY MARGIN/GAME]]</f>
        <v>8.4793028322440094</v>
      </c>
      <c r="AD265" s="23">
        <f>Table2[[#This Row],[HOME W/L%]]-Table2[[#This Row],[AWAY W/L%]]</f>
        <v>0.20900000000000002</v>
      </c>
      <c r="AE265" s="22"/>
      <c r="AF265"/>
    </row>
    <row r="266" spans="1:32" hidden="1" x14ac:dyDescent="0.2">
      <c r="A266" s="1">
        <v>334</v>
      </c>
      <c r="B266" s="1"/>
      <c r="C266" s="2" t="s">
        <v>292</v>
      </c>
      <c r="D266" s="2" t="str">
        <f>IF(COUNTIF($AG$3:$AG$20,C266)&gt;0,$AG$2,
 IF(COUNTIF($AH$3:$AH$20,C266)&gt;0,$AH$2,
 IF(COUNTIF($AI$3:$AI$20,C266)&gt;0,$AI$2,
 IF(COUNTIF($AJ$3:$AJ$20,C266)&gt;0,$AJ$2,
 IF(COUNTIF($AK$3:$AK$20,C266)&gt;0,$AK$2,
 IF(COUNTIF($AL$3:$AL$20,C266)&gt;0,$AL$2,
 IF(COUNTIF($AM$3:$AM$20,C266)&gt;0,$AM$2,"Not Found")))))))</f>
        <v>Not Found</v>
      </c>
      <c r="E266" s="2" t="s">
        <v>10</v>
      </c>
      <c r="F266" s="2" t="s">
        <v>120</v>
      </c>
      <c r="G266" s="2">
        <v>48</v>
      </c>
      <c r="H266" s="2">
        <v>244</v>
      </c>
      <c r="I266" s="2">
        <v>65</v>
      </c>
      <c r="J266" s="2">
        <v>-1108</v>
      </c>
      <c r="K266" s="4">
        <v>0.72899999999999998</v>
      </c>
      <c r="L266" s="4">
        <v>0.246</v>
      </c>
      <c r="M266" s="2">
        <v>102.6</v>
      </c>
      <c r="N266" s="2">
        <v>91.3</v>
      </c>
      <c r="O266" s="2">
        <v>96.4</v>
      </c>
      <c r="P266" s="2">
        <v>112.6</v>
      </c>
      <c r="Q266" s="4">
        <v>0.54100000000000004</v>
      </c>
      <c r="R266" s="4">
        <v>0.48799999999999999</v>
      </c>
      <c r="S266" s="4">
        <v>0.53100000000000003</v>
      </c>
      <c r="T266" s="4">
        <v>0.58099999999999996</v>
      </c>
      <c r="U266" s="19">
        <f>Table2[[#This Row],[NET PF]]/Table2[[#This Row],[HOME GAMES]]</f>
        <v>-3.1458333333333335</v>
      </c>
      <c r="V266" s="28">
        <f>393/Table2[[#This Row],[AWAY GAMES]]</f>
        <v>6.046153846153846</v>
      </c>
      <c r="W266" s="4">
        <v>0.69899999999999995</v>
      </c>
      <c r="X266" s="4">
        <v>0.71199999999999997</v>
      </c>
      <c r="Y266" s="2">
        <v>-151</v>
      </c>
      <c r="Z266" s="2">
        <v>209</v>
      </c>
      <c r="AA266" s="8">
        <f>Table2[[#This Row],[HOME MARGIN]]/Table2[[#This Row],[HOME GAMES]]</f>
        <v>5.083333333333333</v>
      </c>
      <c r="AB266" s="8">
        <f>Table2[[#This Row],[AWAY MARGIN]]/Table2[[#This Row],[AWAY GAMES]]</f>
        <v>-17.046153846153846</v>
      </c>
      <c r="AC266" s="8">
        <f>Table2[[#This Row],[HOME MARGIN/GAME]]-Table2[[#This Row],[AWAY MARGIN/GAME]]</f>
        <v>22.129487179487178</v>
      </c>
      <c r="AD266" s="23">
        <f>Table2[[#This Row],[HOME W/L%]]-Table2[[#This Row],[AWAY W/L%]]</f>
        <v>0.48299999999999998</v>
      </c>
      <c r="AE266" s="22"/>
      <c r="AF266"/>
    </row>
    <row r="267" spans="1:32" hidden="1" x14ac:dyDescent="0.2">
      <c r="A267" s="1">
        <v>100</v>
      </c>
      <c r="B267" s="1"/>
      <c r="C267" s="2" t="s">
        <v>195</v>
      </c>
      <c r="D267" s="2" t="str">
        <f>IF(COUNTIF($AG$3:$AG$20,C267)&gt;0,$AG$2,
 IF(COUNTIF($AH$3:$AH$20,C267)&gt;0,$AH$2,
 IF(COUNTIF($AI$3:$AI$20,C267)&gt;0,$AI$2,
 IF(COUNTIF($AJ$3:$AJ$20,C267)&gt;0,$AJ$2,
 IF(COUNTIF($AK$3:$AK$20,C267)&gt;0,$AK$2,
 IF(COUNTIF($AL$3:$AL$20,C267)&gt;0,$AL$2,
 IF(COUNTIF($AM$3:$AM$20,C267)&gt;0,$AM$2,"Not Found")))))))</f>
        <v>Not Found</v>
      </c>
      <c r="E267" s="2" t="s">
        <v>10</v>
      </c>
      <c r="F267" s="2" t="s">
        <v>11</v>
      </c>
      <c r="G267" s="2">
        <v>154</v>
      </c>
      <c r="H267" s="2">
        <v>1531</v>
      </c>
      <c r="I267" s="2">
        <v>124</v>
      </c>
      <c r="J267" s="2">
        <v>-589</v>
      </c>
      <c r="K267" s="4">
        <v>0.73399999999999999</v>
      </c>
      <c r="L267" s="4">
        <v>0.32300000000000001</v>
      </c>
      <c r="M267" s="2">
        <v>104.9</v>
      </c>
      <c r="N267" s="2">
        <v>96.7</v>
      </c>
      <c r="O267" s="2">
        <v>91.1</v>
      </c>
      <c r="P267" s="2">
        <v>103.4</v>
      </c>
      <c r="Q267" s="4">
        <v>0.54900000000000004</v>
      </c>
      <c r="R267" s="4">
        <v>0.51</v>
      </c>
      <c r="S267" s="4">
        <v>0.49</v>
      </c>
      <c r="T267" s="4">
        <v>0.54700000000000004</v>
      </c>
      <c r="U267" s="19">
        <f>Table2[[#This Row],[NET PF]]/Table2[[#This Row],[HOME GAMES]]</f>
        <v>-1.2142857142857142</v>
      </c>
      <c r="V267" s="28">
        <f>393/Table2[[#This Row],[AWAY GAMES]]</f>
        <v>3.1693548387096775</v>
      </c>
      <c r="W267" s="4">
        <v>0.69199999999999995</v>
      </c>
      <c r="X267" s="4">
        <v>0.73199999999999998</v>
      </c>
      <c r="Y267" s="2">
        <v>-187</v>
      </c>
      <c r="Z267" s="2">
        <v>217</v>
      </c>
      <c r="AA267" s="8">
        <f>Table2[[#This Row],[HOME MARGIN]]/Table2[[#This Row],[HOME GAMES]]</f>
        <v>9.9415584415584419</v>
      </c>
      <c r="AB267" s="8">
        <f>Table2[[#This Row],[AWAY MARGIN]]/Table2[[#This Row],[AWAY GAMES]]</f>
        <v>-4.75</v>
      </c>
      <c r="AC267" s="8">
        <f>Table2[[#This Row],[HOME MARGIN/GAME]]-Table2[[#This Row],[AWAY MARGIN/GAME]]</f>
        <v>14.691558441558442</v>
      </c>
      <c r="AD267" s="23">
        <f>Table2[[#This Row],[HOME W/L%]]-Table2[[#This Row],[AWAY W/L%]]</f>
        <v>0.41099999999999998</v>
      </c>
      <c r="AE267" s="22"/>
      <c r="AF267"/>
    </row>
    <row r="268" spans="1:32" x14ac:dyDescent="0.2">
      <c r="A268" s="1">
        <v>157</v>
      </c>
      <c r="B268" s="1">
        <v>54</v>
      </c>
      <c r="C268" s="2" t="s">
        <v>109</v>
      </c>
      <c r="D268" s="2" t="str">
        <f>IF(COUNTIF($AG$3:$AG$20,C268)&gt;0,$AG$2,
 IF(COUNTIF($AH$3:$AH$20,C268)&gt;0,$AH$2,
 IF(COUNTIF($AI$3:$AI$20,C268)&gt;0,$AI$2,
 IF(COUNTIF($AJ$3:$AJ$20,C268)&gt;0,$AJ$2,
 IF(COUNTIF($AK$3:$AK$20,C268)&gt;0,$AK$2,
 IF(COUNTIF($AL$3:$AL$20,C268)&gt;0,$AL$2,
 IF(COUNTIF($AM$3:$AM$20,C268)&gt;0,$AM$2,"Not Found")))))))</f>
        <v>Big East</v>
      </c>
      <c r="E268" s="2" t="s">
        <v>10</v>
      </c>
      <c r="F268" s="2" t="s">
        <v>11</v>
      </c>
      <c r="G268" s="2">
        <v>153</v>
      </c>
      <c r="H268" s="2">
        <v>1218</v>
      </c>
      <c r="I268" s="2">
        <v>113</v>
      </c>
      <c r="J268" s="2">
        <v>-292</v>
      </c>
      <c r="K268" s="4">
        <v>0.71899999999999997</v>
      </c>
      <c r="L268" s="4">
        <v>0.442</v>
      </c>
      <c r="M268" s="2">
        <v>105.7</v>
      </c>
      <c r="N268" s="2">
        <v>100</v>
      </c>
      <c r="O268" s="2">
        <v>94.4</v>
      </c>
      <c r="P268" s="2">
        <v>103.7</v>
      </c>
      <c r="Q268" s="4">
        <v>0.54200000000000004</v>
      </c>
      <c r="R268" s="4">
        <v>0.52200000000000002</v>
      </c>
      <c r="S268" s="4">
        <v>0.503</v>
      </c>
      <c r="T268" s="4">
        <v>0.54200000000000004</v>
      </c>
      <c r="U268" s="19">
        <f>Table2[[#This Row],[NET PF]]/Table2[[#This Row],[HOME GAMES]]</f>
        <v>-2.6274509803921569</v>
      </c>
      <c r="V268" s="28">
        <f>393/Table2[[#This Row],[AWAY GAMES]]</f>
        <v>3.4778761061946901</v>
      </c>
      <c r="W268" s="4">
        <v>0.72599999999999998</v>
      </c>
      <c r="X268" s="4">
        <v>0.73099999999999998</v>
      </c>
      <c r="Y268" s="2">
        <v>-402</v>
      </c>
      <c r="Z268" s="2">
        <v>182</v>
      </c>
      <c r="AA268" s="8">
        <f>Table2[[#This Row],[HOME MARGIN]]/Table2[[#This Row],[HOME GAMES]]</f>
        <v>7.9607843137254903</v>
      </c>
      <c r="AB268" s="8">
        <f>Table2[[#This Row],[AWAY MARGIN]]/Table2[[#This Row],[AWAY GAMES]]</f>
        <v>-2.584070796460177</v>
      </c>
      <c r="AC268" s="8">
        <f>Table2[[#This Row],[HOME MARGIN/GAME]]-Table2[[#This Row],[AWAY MARGIN/GAME]]</f>
        <v>10.544855110185667</v>
      </c>
      <c r="AD268" s="23">
        <f>Table2[[#This Row],[HOME W/L%]]-Table2[[#This Row],[AWAY W/L%]]</f>
        <v>0.27699999999999997</v>
      </c>
      <c r="AE268" s="22"/>
      <c r="AF268"/>
    </row>
    <row r="269" spans="1:32" hidden="1" x14ac:dyDescent="0.2">
      <c r="A269" s="1">
        <v>319</v>
      </c>
      <c r="B269" s="1"/>
      <c r="C269" s="2" t="s">
        <v>379</v>
      </c>
      <c r="D269" s="2" t="str">
        <f>IF(COUNTIF($AG$3:$AG$20,C269)&gt;0,$AG$2,
 IF(COUNTIF($AH$3:$AH$20,C269)&gt;0,$AH$2,
 IF(COUNTIF($AI$3:$AI$20,C269)&gt;0,$AI$2,
 IF(COUNTIF($AJ$3:$AJ$20,C269)&gt;0,$AJ$2,
 IF(COUNTIF($AK$3:$AK$20,C269)&gt;0,$AK$2,
 IF(COUNTIF($AL$3:$AL$20,C269)&gt;0,$AL$2,
 IF(COUNTIF($AM$3:$AM$20,C269)&gt;0,$AM$2,"Not Found")))))))</f>
        <v>Not Found</v>
      </c>
      <c r="E269" s="2" t="s">
        <v>10</v>
      </c>
      <c r="F269" s="2" t="s">
        <v>11</v>
      </c>
      <c r="G269" s="2">
        <v>133</v>
      </c>
      <c r="H269" s="2">
        <v>324</v>
      </c>
      <c r="I269" s="2">
        <v>146</v>
      </c>
      <c r="J269" s="2">
        <v>-683</v>
      </c>
      <c r="K269" s="4">
        <v>0.624</v>
      </c>
      <c r="L269" s="4">
        <v>0.35599999999999998</v>
      </c>
      <c r="M269" s="2">
        <v>103</v>
      </c>
      <c r="N269" s="2">
        <v>98.2</v>
      </c>
      <c r="O269" s="2">
        <v>99.5</v>
      </c>
      <c r="P269" s="2">
        <v>105</v>
      </c>
      <c r="Q269" s="4">
        <v>0.54300000000000004</v>
      </c>
      <c r="R269" s="4">
        <v>0.52</v>
      </c>
      <c r="S269" s="4">
        <v>0.51700000000000002</v>
      </c>
      <c r="T269" s="4">
        <v>0.54700000000000004</v>
      </c>
      <c r="U269" s="19">
        <f>Table2[[#This Row],[NET PF]]/Table2[[#This Row],[HOME GAMES]]</f>
        <v>-2.1052631578947367</v>
      </c>
      <c r="V269" s="28">
        <f>393/Table2[[#This Row],[AWAY GAMES]]</f>
        <v>2.6917808219178081</v>
      </c>
      <c r="W269" s="4">
        <v>0.70499999999999996</v>
      </c>
      <c r="X269" s="4">
        <v>0.72</v>
      </c>
      <c r="Y269" s="2">
        <v>-280</v>
      </c>
      <c r="Z269" s="2">
        <v>127</v>
      </c>
      <c r="AA269" s="8">
        <f>Table2[[#This Row],[HOME MARGIN]]/Table2[[#This Row],[HOME GAMES]]</f>
        <v>2.4360902255639099</v>
      </c>
      <c r="AB269" s="8">
        <f>Table2[[#This Row],[AWAY MARGIN]]/Table2[[#This Row],[AWAY GAMES]]</f>
        <v>-4.6780821917808222</v>
      </c>
      <c r="AC269" s="8">
        <f>Table2[[#This Row],[HOME MARGIN/GAME]]-Table2[[#This Row],[AWAY MARGIN/GAME]]</f>
        <v>7.114172417344732</v>
      </c>
      <c r="AD269" s="23">
        <f>Table2[[#This Row],[HOME W/L%]]-Table2[[#This Row],[AWAY W/L%]]</f>
        <v>0.26800000000000002</v>
      </c>
      <c r="AE269" s="22"/>
      <c r="AF269"/>
    </row>
    <row r="270" spans="1:32" hidden="1" x14ac:dyDescent="0.2">
      <c r="A270" s="1">
        <v>326</v>
      </c>
      <c r="B270" s="1"/>
      <c r="C270" s="2" t="s">
        <v>262</v>
      </c>
      <c r="D270" s="2" t="str">
        <f>IF(COUNTIF($AG$3:$AG$20,C270)&gt;0,$AG$2,
 IF(COUNTIF($AH$3:$AH$20,C270)&gt;0,$AH$2,
 IF(COUNTIF($AI$3:$AI$20,C270)&gt;0,$AI$2,
 IF(COUNTIF($AJ$3:$AJ$20,C270)&gt;0,$AJ$2,
 IF(COUNTIF($AK$3:$AK$20,C270)&gt;0,$AK$2,
 IF(COUNTIF($AL$3:$AL$20,C270)&gt;0,$AL$2,
 IF(COUNTIF($AM$3:$AM$20,C270)&gt;0,$AM$2,"Not Found")))))))</f>
        <v>Not Found</v>
      </c>
      <c r="E270" s="2" t="s">
        <v>10</v>
      </c>
      <c r="F270" s="2" t="s">
        <v>11</v>
      </c>
      <c r="G270" s="2">
        <v>135</v>
      </c>
      <c r="H270" s="2">
        <v>274</v>
      </c>
      <c r="I270" s="2">
        <v>149</v>
      </c>
      <c r="J270" s="2">
        <v>-1374</v>
      </c>
      <c r="K270" s="4">
        <v>0.47399999999999998</v>
      </c>
      <c r="L270" s="4">
        <v>0.27500000000000002</v>
      </c>
      <c r="M270" s="2">
        <v>100.7</v>
      </c>
      <c r="N270" s="2">
        <v>94.5</v>
      </c>
      <c r="O270" s="2">
        <v>97.8</v>
      </c>
      <c r="P270" s="2">
        <v>107.4</v>
      </c>
      <c r="Q270" s="4">
        <v>0.52700000000000002</v>
      </c>
      <c r="R270" s="4">
        <v>0.5</v>
      </c>
      <c r="S270" s="4">
        <v>0.53</v>
      </c>
      <c r="T270" s="4">
        <v>0.56499999999999995</v>
      </c>
      <c r="U270" s="19">
        <f>Table2[[#This Row],[NET PF]]/Table2[[#This Row],[HOME GAMES]]</f>
        <v>-0.92592592592592593</v>
      </c>
      <c r="V270" s="28">
        <f>393/Table2[[#This Row],[AWAY GAMES]]</f>
        <v>2.6375838926174495</v>
      </c>
      <c r="W270" s="4">
        <v>0.71699999999999997</v>
      </c>
      <c r="X270" s="4">
        <v>0.71899999999999997</v>
      </c>
      <c r="Y270" s="2">
        <v>-125</v>
      </c>
      <c r="Z270" s="2">
        <v>386</v>
      </c>
      <c r="AA270" s="8">
        <f>Table2[[#This Row],[HOME MARGIN]]/Table2[[#This Row],[HOME GAMES]]</f>
        <v>2.0296296296296297</v>
      </c>
      <c r="AB270" s="8">
        <f>Table2[[#This Row],[AWAY MARGIN]]/Table2[[#This Row],[AWAY GAMES]]</f>
        <v>-9.2214765100671148</v>
      </c>
      <c r="AC270" s="8">
        <f>Table2[[#This Row],[HOME MARGIN/GAME]]-Table2[[#This Row],[AWAY MARGIN/GAME]]</f>
        <v>11.251106139696745</v>
      </c>
      <c r="AD270" s="23">
        <f>Table2[[#This Row],[HOME W/L%]]-Table2[[#This Row],[AWAY W/L%]]</f>
        <v>0.19899999999999995</v>
      </c>
      <c r="AE270" s="22"/>
      <c r="AF270"/>
    </row>
    <row r="271" spans="1:32" hidden="1" x14ac:dyDescent="0.2">
      <c r="A271" s="1">
        <v>43</v>
      </c>
      <c r="B271" s="1"/>
      <c r="C271" s="2" t="s">
        <v>65</v>
      </c>
      <c r="D271" s="2" t="str">
        <f>IF(COUNTIF($AG$3:$AG$20,C271)&gt;0,$AG$2,
 IF(COUNTIF($AH$3:$AH$20,C271)&gt;0,$AH$2,
 IF(COUNTIF($AI$3:$AI$20,C271)&gt;0,$AI$2,
 IF(COUNTIF($AJ$3:$AJ$20,C271)&gt;0,$AJ$2,
 IF(COUNTIF($AK$3:$AK$20,C271)&gt;0,$AK$2,
 IF(COUNTIF($AL$3:$AL$20,C271)&gt;0,$AL$2,
 IF(COUNTIF($AM$3:$AM$20,C271)&gt;0,$AM$2,"Not Found")))))))</f>
        <v>Not Found</v>
      </c>
      <c r="E271" s="2" t="s">
        <v>10</v>
      </c>
      <c r="F271" s="2" t="s">
        <v>11</v>
      </c>
      <c r="G271" s="2">
        <v>162</v>
      </c>
      <c r="H271" s="2">
        <v>2015</v>
      </c>
      <c r="I271" s="2">
        <v>108</v>
      </c>
      <c r="J271" s="2">
        <v>-56</v>
      </c>
      <c r="K271" s="4">
        <v>0.78400000000000003</v>
      </c>
      <c r="L271" s="4">
        <v>0.44400000000000001</v>
      </c>
      <c r="M271" s="2">
        <v>112.1</v>
      </c>
      <c r="N271" s="2">
        <v>102.6</v>
      </c>
      <c r="O271" s="2">
        <v>94.1</v>
      </c>
      <c r="P271" s="2">
        <v>103.4</v>
      </c>
      <c r="Q271" s="4">
        <v>0.56799999999999995</v>
      </c>
      <c r="R271" s="4">
        <v>0.52900000000000003</v>
      </c>
      <c r="S271" s="4">
        <v>0.495</v>
      </c>
      <c r="T271" s="4">
        <v>0.53100000000000003</v>
      </c>
      <c r="U271" s="19">
        <f>Table2[[#This Row],[NET PF]]/Table2[[#This Row],[HOME GAMES]]</f>
        <v>-2.8271604938271606</v>
      </c>
      <c r="V271" s="28">
        <f>393/Table2[[#This Row],[AWAY GAMES]]</f>
        <v>3.6388888888888888</v>
      </c>
      <c r="W271" s="4">
        <v>0.69599999999999995</v>
      </c>
      <c r="X271" s="4">
        <v>0.71499999999999997</v>
      </c>
      <c r="Y271" s="2">
        <v>-458</v>
      </c>
      <c r="Z271" s="2">
        <v>148</v>
      </c>
      <c r="AA271" s="8">
        <f>Table2[[#This Row],[HOME MARGIN]]/Table2[[#This Row],[HOME GAMES]]</f>
        <v>12.438271604938272</v>
      </c>
      <c r="AB271" s="8">
        <f>Table2[[#This Row],[AWAY MARGIN]]/Table2[[#This Row],[AWAY GAMES]]</f>
        <v>-0.51851851851851849</v>
      </c>
      <c r="AC271" s="8">
        <f>Table2[[#This Row],[HOME MARGIN/GAME]]-Table2[[#This Row],[AWAY MARGIN/GAME]]</f>
        <v>12.956790123456791</v>
      </c>
      <c r="AD271" s="23">
        <f>Table2[[#This Row],[HOME W/L%]]-Table2[[#This Row],[AWAY W/L%]]</f>
        <v>0.34</v>
      </c>
      <c r="AE271" s="22"/>
      <c r="AF271"/>
    </row>
    <row r="272" spans="1:32" hidden="1" x14ac:dyDescent="0.2">
      <c r="A272" s="1">
        <v>127</v>
      </c>
      <c r="B272" s="1"/>
      <c r="C272" s="2" t="s">
        <v>376</v>
      </c>
      <c r="D272" s="2" t="str">
        <f>IF(COUNTIF($AG$3:$AG$20,C272)&gt;0,$AG$2,
 IF(COUNTIF($AH$3:$AH$20,C272)&gt;0,$AH$2,
 IF(COUNTIF($AI$3:$AI$20,C272)&gt;0,$AI$2,
 IF(COUNTIF($AJ$3:$AJ$20,C272)&gt;0,$AJ$2,
 IF(COUNTIF($AK$3:$AK$20,C272)&gt;0,$AK$2,
 IF(COUNTIF($AL$3:$AL$20,C272)&gt;0,$AL$2,
 IF(COUNTIF($AM$3:$AM$20,C272)&gt;0,$AM$2,"Not Found")))))))</f>
        <v>Not Found</v>
      </c>
      <c r="E272" s="2" t="s">
        <v>10</v>
      </c>
      <c r="F272" s="2" t="s">
        <v>11</v>
      </c>
      <c r="G272" s="2">
        <v>158</v>
      </c>
      <c r="H272" s="2">
        <v>1367</v>
      </c>
      <c r="I272" s="2">
        <v>134</v>
      </c>
      <c r="J272" s="2">
        <v>-692</v>
      </c>
      <c r="K272" s="4">
        <v>0.69</v>
      </c>
      <c r="L272" s="4">
        <v>0.35099999999999998</v>
      </c>
      <c r="M272" s="2">
        <v>106.8</v>
      </c>
      <c r="N272" s="2">
        <v>96.6</v>
      </c>
      <c r="O272" s="2">
        <v>94.5</v>
      </c>
      <c r="P272" s="2">
        <v>103.9</v>
      </c>
      <c r="Q272" s="4">
        <v>0.56000000000000005</v>
      </c>
      <c r="R272" s="4">
        <v>0.51700000000000002</v>
      </c>
      <c r="S272" s="4">
        <v>0.5</v>
      </c>
      <c r="T272" s="4">
        <v>0.54400000000000004</v>
      </c>
      <c r="U272" s="19">
        <f>Table2[[#This Row],[NET PF]]/Table2[[#This Row],[HOME GAMES]]</f>
        <v>-0.84810126582278478</v>
      </c>
      <c r="V272" s="28">
        <f>393/Table2[[#This Row],[AWAY GAMES]]</f>
        <v>2.9328358208955225</v>
      </c>
      <c r="W272" s="4">
        <v>0.69</v>
      </c>
      <c r="X272" s="4">
        <v>0.71099999999999997</v>
      </c>
      <c r="Y272" s="2">
        <v>-134</v>
      </c>
      <c r="Z272" s="2">
        <v>152</v>
      </c>
      <c r="AA272" s="8">
        <f>Table2[[#This Row],[HOME MARGIN]]/Table2[[#This Row],[HOME GAMES]]</f>
        <v>8.651898734177216</v>
      </c>
      <c r="AB272" s="8">
        <f>Table2[[#This Row],[AWAY MARGIN]]/Table2[[#This Row],[AWAY GAMES]]</f>
        <v>-5.1641791044776122</v>
      </c>
      <c r="AC272" s="8">
        <f>Table2[[#This Row],[HOME MARGIN/GAME]]-Table2[[#This Row],[AWAY MARGIN/GAME]]</f>
        <v>13.816077838654827</v>
      </c>
      <c r="AD272" s="23">
        <f>Table2[[#This Row],[HOME W/L%]]-Table2[[#This Row],[AWAY W/L%]]</f>
        <v>0.33899999999999997</v>
      </c>
      <c r="AE272" s="22"/>
      <c r="AF272"/>
    </row>
    <row r="273" spans="1:32" x14ac:dyDescent="0.2">
      <c r="A273" s="1">
        <v>193</v>
      </c>
      <c r="B273" s="1">
        <v>65</v>
      </c>
      <c r="C273" s="2" t="s">
        <v>190</v>
      </c>
      <c r="D273" s="2" t="str">
        <f>IF(COUNTIF($AG$3:$AG$20,C273)&gt;0,$AG$2,
 IF(COUNTIF($AH$3:$AH$20,C273)&gt;0,$AH$2,
 IF(COUNTIF($AI$3:$AI$20,C273)&gt;0,$AI$2,
 IF(COUNTIF($AJ$3:$AJ$20,C273)&gt;0,$AJ$2,
 IF(COUNTIF($AK$3:$AK$20,C273)&gt;0,$AK$2,
 IF(COUNTIF($AL$3:$AL$20,C273)&gt;0,$AL$2,
 IF(COUNTIF($AM$3:$AM$20,C273)&gt;0,$AM$2,"Not Found")))))))</f>
        <v>SEC</v>
      </c>
      <c r="E273" s="2" t="s">
        <v>10</v>
      </c>
      <c r="F273" s="2" t="s">
        <v>11</v>
      </c>
      <c r="G273" s="2">
        <v>159</v>
      </c>
      <c r="H273" s="2">
        <v>1012</v>
      </c>
      <c r="I273" s="2">
        <v>111</v>
      </c>
      <c r="J273" s="2">
        <v>-581</v>
      </c>
      <c r="K273" s="4">
        <v>0.68600000000000005</v>
      </c>
      <c r="L273" s="4">
        <v>0.39600000000000002</v>
      </c>
      <c r="M273" s="2">
        <v>102.9</v>
      </c>
      <c r="N273" s="2">
        <v>96.6</v>
      </c>
      <c r="O273" s="2">
        <v>94.1</v>
      </c>
      <c r="P273" s="2">
        <v>104</v>
      </c>
      <c r="Q273" s="4">
        <v>0.51800000000000002</v>
      </c>
      <c r="R273" s="4">
        <v>0.51100000000000001</v>
      </c>
      <c r="S273" s="4">
        <v>0.50700000000000001</v>
      </c>
      <c r="T273" s="4">
        <v>0.55300000000000005</v>
      </c>
      <c r="U273" s="19">
        <f>Table2[[#This Row],[NET PF]]/Table2[[#This Row],[HOME GAMES]]</f>
        <v>-2.2264150943396226</v>
      </c>
      <c r="V273" s="28">
        <f>393/Table2[[#This Row],[AWAY GAMES]]</f>
        <v>3.5405405405405403</v>
      </c>
      <c r="W273" s="4">
        <v>0.70199999999999996</v>
      </c>
      <c r="X273" s="4">
        <v>0.73299999999999998</v>
      </c>
      <c r="Y273" s="2">
        <v>-354</v>
      </c>
      <c r="Z273" s="2">
        <v>273</v>
      </c>
      <c r="AA273" s="8">
        <f>Table2[[#This Row],[HOME MARGIN]]/Table2[[#This Row],[HOME GAMES]]</f>
        <v>6.3647798742138368</v>
      </c>
      <c r="AB273" s="8">
        <f>Table2[[#This Row],[AWAY MARGIN]]/Table2[[#This Row],[AWAY GAMES]]</f>
        <v>-5.2342342342342345</v>
      </c>
      <c r="AC273" s="8">
        <f>Table2[[#This Row],[HOME MARGIN/GAME]]-Table2[[#This Row],[AWAY MARGIN/GAME]]</f>
        <v>11.59901410844807</v>
      </c>
      <c r="AD273" s="23">
        <f>Table2[[#This Row],[HOME W/L%]]-Table2[[#This Row],[AWAY W/L%]]</f>
        <v>0.29000000000000004</v>
      </c>
      <c r="AE273" s="22"/>
      <c r="AF273"/>
    </row>
    <row r="274" spans="1:32" hidden="1" x14ac:dyDescent="0.2">
      <c r="A274" s="1">
        <v>264</v>
      </c>
      <c r="B274" s="1"/>
      <c r="C274" s="2" t="s">
        <v>226</v>
      </c>
      <c r="D274" s="2" t="str">
        <f>IF(COUNTIF($AG$3:$AG$20,C274)&gt;0,$AG$2,
 IF(COUNTIF($AH$3:$AH$20,C274)&gt;0,$AH$2,
 IF(COUNTIF($AI$3:$AI$20,C274)&gt;0,$AI$2,
 IF(COUNTIF($AJ$3:$AJ$20,C274)&gt;0,$AJ$2,
 IF(COUNTIF($AK$3:$AK$20,C274)&gt;0,$AK$2,
 IF(COUNTIF($AL$3:$AL$20,C274)&gt;0,$AL$2,
 IF(COUNTIF($AM$3:$AM$20,C274)&gt;0,$AM$2,"Not Found")))))))</f>
        <v>Not Found</v>
      </c>
      <c r="E274" s="2" t="s">
        <v>10</v>
      </c>
      <c r="F274" s="2" t="s">
        <v>11</v>
      </c>
      <c r="G274" s="2">
        <v>113</v>
      </c>
      <c r="H274" s="2">
        <v>671</v>
      </c>
      <c r="I274" s="2">
        <v>168</v>
      </c>
      <c r="J274" s="2">
        <v>-2078</v>
      </c>
      <c r="K274" s="4">
        <v>0.61099999999999999</v>
      </c>
      <c r="L274" s="4">
        <v>0.20799999999999999</v>
      </c>
      <c r="M274" s="2">
        <v>108.5</v>
      </c>
      <c r="N274" s="2">
        <v>91.5</v>
      </c>
      <c r="O274" s="2">
        <v>100.4</v>
      </c>
      <c r="P274" s="2">
        <v>108.6</v>
      </c>
      <c r="Q274" s="4">
        <v>0.55900000000000005</v>
      </c>
      <c r="R274" s="4">
        <v>0.48499999999999999</v>
      </c>
      <c r="S274" s="4">
        <v>0.55200000000000005</v>
      </c>
      <c r="T274" s="4">
        <v>0.57599999999999996</v>
      </c>
      <c r="U274" s="19">
        <f>Table2[[#This Row],[NET PF]]/Table2[[#This Row],[HOME GAMES]]</f>
        <v>-1.6283185840707965</v>
      </c>
      <c r="V274" s="28">
        <f>393/Table2[[#This Row],[AWAY GAMES]]</f>
        <v>2.3392857142857144</v>
      </c>
      <c r="W274" s="4">
        <v>0.69399999999999995</v>
      </c>
      <c r="X274" s="4">
        <v>0.71699999999999997</v>
      </c>
      <c r="Y274" s="2">
        <v>-184</v>
      </c>
      <c r="Z274" s="2">
        <v>450</v>
      </c>
      <c r="AA274" s="8">
        <f>Table2[[#This Row],[HOME MARGIN]]/Table2[[#This Row],[HOME GAMES]]</f>
        <v>5.9380530973451329</v>
      </c>
      <c r="AB274" s="8">
        <f>Table2[[#This Row],[AWAY MARGIN]]/Table2[[#This Row],[AWAY GAMES]]</f>
        <v>-12.369047619047619</v>
      </c>
      <c r="AC274" s="8">
        <f>Table2[[#This Row],[HOME MARGIN/GAME]]-Table2[[#This Row],[AWAY MARGIN/GAME]]</f>
        <v>18.307100716392753</v>
      </c>
      <c r="AD274" s="23">
        <f>Table2[[#This Row],[HOME W/L%]]-Table2[[#This Row],[AWAY W/L%]]</f>
        <v>0.40300000000000002</v>
      </c>
      <c r="AE274" s="22"/>
      <c r="AF274"/>
    </row>
    <row r="275" spans="1:32" hidden="1" x14ac:dyDescent="0.2">
      <c r="A275" s="1">
        <v>102</v>
      </c>
      <c r="B275" s="1"/>
      <c r="C275" s="2" t="s">
        <v>366</v>
      </c>
      <c r="D275" s="2" t="str">
        <f>IF(COUNTIF($AG$3:$AG$20,C275)&gt;0,$AG$2,
 IF(COUNTIF($AH$3:$AH$20,C275)&gt;0,$AH$2,
 IF(COUNTIF($AI$3:$AI$20,C275)&gt;0,$AI$2,
 IF(COUNTIF($AJ$3:$AJ$20,C275)&gt;0,$AJ$2,
 IF(COUNTIF($AK$3:$AK$20,C275)&gt;0,$AK$2,
 IF(COUNTIF($AL$3:$AL$20,C275)&gt;0,$AL$2,
 IF(COUNTIF($AM$3:$AM$20,C275)&gt;0,$AM$2,"Not Found")))))))</f>
        <v>Not Found</v>
      </c>
      <c r="E275" s="2" t="s">
        <v>10</v>
      </c>
      <c r="F275" s="2" t="s">
        <v>11</v>
      </c>
      <c r="G275" s="2">
        <v>138</v>
      </c>
      <c r="H275" s="2">
        <v>1510</v>
      </c>
      <c r="I275" s="2">
        <v>131</v>
      </c>
      <c r="J275" s="2">
        <v>-724</v>
      </c>
      <c r="K275" s="4">
        <v>0.73899999999999999</v>
      </c>
      <c r="L275" s="4">
        <v>0.374</v>
      </c>
      <c r="M275" s="2">
        <v>113.2</v>
      </c>
      <c r="N275" s="2">
        <v>102.2</v>
      </c>
      <c r="O275" s="2">
        <v>97.9</v>
      </c>
      <c r="P275" s="2">
        <v>109.9</v>
      </c>
      <c r="Q275" s="4">
        <v>0.58599999999999997</v>
      </c>
      <c r="R275" s="4">
        <v>0.53800000000000003</v>
      </c>
      <c r="S275" s="4">
        <v>0.52400000000000002</v>
      </c>
      <c r="T275" s="4">
        <v>0.56699999999999995</v>
      </c>
      <c r="U275" s="19">
        <f>Table2[[#This Row],[NET PF]]/Table2[[#This Row],[HOME GAMES]]</f>
        <v>-2.7028985507246377</v>
      </c>
      <c r="V275" s="28">
        <f>393/Table2[[#This Row],[AWAY GAMES]]</f>
        <v>3</v>
      </c>
      <c r="W275" s="4">
        <v>0.72399999999999998</v>
      </c>
      <c r="X275" s="4">
        <v>0.73699999999999999</v>
      </c>
      <c r="Y275" s="2">
        <v>-373</v>
      </c>
      <c r="Z275" s="2">
        <v>121</v>
      </c>
      <c r="AA275" s="8">
        <f>Table2[[#This Row],[HOME MARGIN]]/Table2[[#This Row],[HOME GAMES]]</f>
        <v>10.942028985507246</v>
      </c>
      <c r="AB275" s="8">
        <f>Table2[[#This Row],[AWAY MARGIN]]/Table2[[#This Row],[AWAY GAMES]]</f>
        <v>-5.5267175572519083</v>
      </c>
      <c r="AC275" s="8">
        <f>Table2[[#This Row],[HOME MARGIN/GAME]]-Table2[[#This Row],[AWAY MARGIN/GAME]]</f>
        <v>16.468746542759156</v>
      </c>
      <c r="AD275" s="23">
        <f>Table2[[#This Row],[HOME W/L%]]-Table2[[#This Row],[AWAY W/L%]]</f>
        <v>0.36499999999999999</v>
      </c>
      <c r="AE275" s="22"/>
      <c r="AF275"/>
    </row>
    <row r="276" spans="1:32" hidden="1" x14ac:dyDescent="0.2">
      <c r="A276" s="1">
        <v>25</v>
      </c>
      <c r="B276" s="1"/>
      <c r="C276" s="2" t="s">
        <v>77</v>
      </c>
      <c r="D276" s="2" t="str">
        <f>IF(COUNTIF($AG$3:$AG$20,C276)&gt;0,$AG$2,
 IF(COUNTIF($AH$3:$AH$20,C276)&gt;0,$AH$2,
 IF(COUNTIF($AI$3:$AI$20,C276)&gt;0,$AI$2,
 IF(COUNTIF($AJ$3:$AJ$20,C276)&gt;0,$AJ$2,
 IF(COUNTIF($AK$3:$AK$20,C276)&gt;0,$AK$2,
 IF(COUNTIF($AL$3:$AL$20,C276)&gt;0,$AL$2,
 IF(COUNTIF($AM$3:$AM$20,C276)&gt;0,$AM$2,"Not Found")))))))</f>
        <v>Not Found</v>
      </c>
      <c r="E276" s="2" t="s">
        <v>10</v>
      </c>
      <c r="F276" s="2" t="s">
        <v>11</v>
      </c>
      <c r="G276" s="2">
        <v>134</v>
      </c>
      <c r="H276" s="2">
        <v>2161</v>
      </c>
      <c r="I276" s="2">
        <v>127</v>
      </c>
      <c r="J276" s="2">
        <v>-116</v>
      </c>
      <c r="K276" s="4">
        <v>0.92500000000000004</v>
      </c>
      <c r="L276" s="4">
        <v>0.48799999999999999</v>
      </c>
      <c r="M276" s="2">
        <v>117.4</v>
      </c>
      <c r="N276" s="2">
        <v>106.8</v>
      </c>
      <c r="O276" s="2">
        <v>94.9</v>
      </c>
      <c r="P276" s="2">
        <v>108.1</v>
      </c>
      <c r="Q276" s="4">
        <v>0.61299999999999999</v>
      </c>
      <c r="R276" s="4">
        <v>0.56999999999999995</v>
      </c>
      <c r="S276" s="4">
        <v>0.50600000000000001</v>
      </c>
      <c r="T276" s="4">
        <v>0.55800000000000005</v>
      </c>
      <c r="U276" s="19">
        <f>Table2[[#This Row],[NET PF]]/Table2[[#This Row],[HOME GAMES]]</f>
        <v>-4.2388059701492535</v>
      </c>
      <c r="V276" s="28">
        <f>393/Table2[[#This Row],[AWAY GAMES]]</f>
        <v>3.0944881889763778</v>
      </c>
      <c r="W276" s="4">
        <v>0.72699999999999998</v>
      </c>
      <c r="X276" s="4">
        <v>0.73199999999999998</v>
      </c>
      <c r="Y276" s="2">
        <v>-568</v>
      </c>
      <c r="Z276" s="2">
        <v>-7</v>
      </c>
      <c r="AA276" s="8">
        <f>Table2[[#This Row],[HOME MARGIN]]/Table2[[#This Row],[HOME GAMES]]</f>
        <v>16.126865671641792</v>
      </c>
      <c r="AB276" s="8">
        <f>Table2[[#This Row],[AWAY MARGIN]]/Table2[[#This Row],[AWAY GAMES]]</f>
        <v>-0.91338582677165359</v>
      </c>
      <c r="AC276" s="8">
        <f>Table2[[#This Row],[HOME MARGIN/GAME]]-Table2[[#This Row],[AWAY MARGIN/GAME]]</f>
        <v>17.040251498413443</v>
      </c>
      <c r="AD276" s="23">
        <f>Table2[[#This Row],[HOME W/L%]]-Table2[[#This Row],[AWAY W/L%]]</f>
        <v>0.43700000000000006</v>
      </c>
      <c r="AE276" s="22"/>
      <c r="AF276"/>
    </row>
    <row r="277" spans="1:32" hidden="1" x14ac:dyDescent="0.2">
      <c r="A277" s="1">
        <v>343</v>
      </c>
      <c r="B277" s="1"/>
      <c r="C277" s="2" t="s">
        <v>348</v>
      </c>
      <c r="D277" s="2" t="str">
        <f>IF(COUNTIF($AG$3:$AG$20,C277)&gt;0,$AG$2,
 IF(COUNTIF($AH$3:$AH$20,C277)&gt;0,$AH$2,
 IF(COUNTIF($AI$3:$AI$20,C277)&gt;0,$AI$2,
 IF(COUNTIF($AJ$3:$AJ$20,C277)&gt;0,$AJ$2,
 IF(COUNTIF($AK$3:$AK$20,C277)&gt;0,$AK$2,
 IF(COUNTIF($AL$3:$AL$20,C277)&gt;0,$AL$2,
 IF(COUNTIF($AM$3:$AM$20,C277)&gt;0,$AM$2,"Not Found")))))))</f>
        <v>Not Found</v>
      </c>
      <c r="E277" s="2" t="s">
        <v>10</v>
      </c>
      <c r="F277" s="2" t="s">
        <v>11</v>
      </c>
      <c r="G277" s="2">
        <v>165</v>
      </c>
      <c r="H277" s="2">
        <v>180</v>
      </c>
      <c r="I277" s="2">
        <v>108</v>
      </c>
      <c r="J277" s="2">
        <v>-810</v>
      </c>
      <c r="K277" s="4">
        <v>0.50900000000000001</v>
      </c>
      <c r="L277" s="4">
        <v>0.29599999999999999</v>
      </c>
      <c r="M277" s="2">
        <v>98.4</v>
      </c>
      <c r="N277" s="2">
        <v>94.7</v>
      </c>
      <c r="O277" s="2">
        <v>96.9</v>
      </c>
      <c r="P277" s="2">
        <v>105.5</v>
      </c>
      <c r="Q277" s="4">
        <v>0.51700000000000002</v>
      </c>
      <c r="R277" s="4">
        <v>0.502</v>
      </c>
      <c r="S277" s="4">
        <v>0.51500000000000001</v>
      </c>
      <c r="T277" s="4">
        <v>0.54800000000000004</v>
      </c>
      <c r="U277" s="19">
        <f>Table2[[#This Row],[NET PF]]/Table2[[#This Row],[HOME GAMES]]</f>
        <v>-1.3151515151515152</v>
      </c>
      <c r="V277" s="28">
        <f>393/Table2[[#This Row],[AWAY GAMES]]</f>
        <v>3.6388888888888888</v>
      </c>
      <c r="W277" s="4">
        <v>0.68700000000000006</v>
      </c>
      <c r="X277" s="4">
        <v>0.70499999999999996</v>
      </c>
      <c r="Y277" s="2">
        <v>-217</v>
      </c>
      <c r="Z277" s="2">
        <v>189</v>
      </c>
      <c r="AA277" s="8">
        <f>Table2[[#This Row],[HOME MARGIN]]/Table2[[#This Row],[HOME GAMES]]</f>
        <v>1.0909090909090908</v>
      </c>
      <c r="AB277" s="8">
        <f>Table2[[#This Row],[AWAY MARGIN]]/Table2[[#This Row],[AWAY GAMES]]</f>
        <v>-7.5</v>
      </c>
      <c r="AC277" s="8">
        <f>Table2[[#This Row],[HOME MARGIN/GAME]]-Table2[[#This Row],[AWAY MARGIN/GAME]]</f>
        <v>8.5909090909090899</v>
      </c>
      <c r="AD277" s="23">
        <f>Table2[[#This Row],[HOME W/L%]]-Table2[[#This Row],[AWAY W/L%]]</f>
        <v>0.21300000000000002</v>
      </c>
      <c r="AE277" s="22"/>
      <c r="AF277"/>
    </row>
    <row r="278" spans="1:32" hidden="1" x14ac:dyDescent="0.2">
      <c r="A278" s="1">
        <v>305</v>
      </c>
      <c r="B278" s="1"/>
      <c r="C278" s="2" t="s">
        <v>269</v>
      </c>
      <c r="D278" s="2" t="str">
        <f>IF(COUNTIF($AG$3:$AG$20,C278)&gt;0,$AG$2,
 IF(COUNTIF($AH$3:$AH$20,C278)&gt;0,$AH$2,
 IF(COUNTIF($AI$3:$AI$20,C278)&gt;0,$AI$2,
 IF(COUNTIF($AJ$3:$AJ$20,C278)&gt;0,$AJ$2,
 IF(COUNTIF($AK$3:$AK$20,C278)&gt;0,$AK$2,
 IF(COUNTIF($AL$3:$AL$20,C278)&gt;0,$AL$2,
 IF(COUNTIF($AM$3:$AM$20,C278)&gt;0,$AM$2,"Not Found")))))))</f>
        <v>Not Found</v>
      </c>
      <c r="E278" s="2" t="s">
        <v>10</v>
      </c>
      <c r="F278" s="2" t="s">
        <v>11</v>
      </c>
      <c r="G278" s="2">
        <v>137</v>
      </c>
      <c r="H278" s="2">
        <v>439</v>
      </c>
      <c r="I278" s="2">
        <v>150</v>
      </c>
      <c r="J278" s="2">
        <v>-1277</v>
      </c>
      <c r="K278" s="4">
        <v>0.55500000000000005</v>
      </c>
      <c r="L278" s="4">
        <v>0.24</v>
      </c>
      <c r="M278" s="2">
        <v>104.6</v>
      </c>
      <c r="N278" s="2">
        <v>96.3</v>
      </c>
      <c r="O278" s="2">
        <v>100.2</v>
      </c>
      <c r="P278" s="2">
        <v>108.2</v>
      </c>
      <c r="Q278" s="4">
        <v>0.55400000000000005</v>
      </c>
      <c r="R278" s="4">
        <v>0.51800000000000002</v>
      </c>
      <c r="S278" s="4">
        <v>0.54200000000000004</v>
      </c>
      <c r="T278" s="4">
        <v>0.57499999999999996</v>
      </c>
      <c r="U278" s="19">
        <f>Table2[[#This Row],[NET PF]]/Table2[[#This Row],[HOME GAMES]]</f>
        <v>-0.44525547445255476</v>
      </c>
      <c r="V278" s="28">
        <f>393/Table2[[#This Row],[AWAY GAMES]]</f>
        <v>2.62</v>
      </c>
      <c r="W278" s="4">
        <v>0.71799999999999997</v>
      </c>
      <c r="X278" s="4">
        <v>0.70299999999999996</v>
      </c>
      <c r="Y278" s="2">
        <v>-61</v>
      </c>
      <c r="Z278" s="2">
        <v>450</v>
      </c>
      <c r="AA278" s="8">
        <f>Table2[[#This Row],[HOME MARGIN]]/Table2[[#This Row],[HOME GAMES]]</f>
        <v>3.2043795620437958</v>
      </c>
      <c r="AB278" s="8">
        <f>Table2[[#This Row],[AWAY MARGIN]]/Table2[[#This Row],[AWAY GAMES]]</f>
        <v>-8.5133333333333336</v>
      </c>
      <c r="AC278" s="8">
        <f>Table2[[#This Row],[HOME MARGIN/GAME]]-Table2[[#This Row],[AWAY MARGIN/GAME]]</f>
        <v>11.717712895377129</v>
      </c>
      <c r="AD278" s="23">
        <f>Table2[[#This Row],[HOME W/L%]]-Table2[[#This Row],[AWAY W/L%]]</f>
        <v>0.31500000000000006</v>
      </c>
      <c r="AE278" s="22"/>
      <c r="AF278"/>
    </row>
    <row r="279" spans="1:32" hidden="1" x14ac:dyDescent="0.2">
      <c r="A279" s="1">
        <v>201</v>
      </c>
      <c r="B279" s="1"/>
      <c r="C279" s="2" t="s">
        <v>279</v>
      </c>
      <c r="D279" s="2" t="str">
        <f>IF(COUNTIF($AG$3:$AG$20,C279)&gt;0,$AG$2,
 IF(COUNTIF($AH$3:$AH$20,C279)&gt;0,$AH$2,
 IF(COUNTIF($AI$3:$AI$20,C279)&gt;0,$AI$2,
 IF(COUNTIF($AJ$3:$AJ$20,C279)&gt;0,$AJ$2,
 IF(COUNTIF($AK$3:$AK$20,C279)&gt;0,$AK$2,
 IF(COUNTIF($AL$3:$AL$20,C279)&gt;0,$AL$2,
 IF(COUNTIF($AM$3:$AM$20,C279)&gt;0,$AM$2,"Not Found")))))))</f>
        <v>Not Found</v>
      </c>
      <c r="E279" s="2" t="s">
        <v>10</v>
      </c>
      <c r="F279" s="2" t="s">
        <v>11</v>
      </c>
      <c r="G279" s="2">
        <v>124</v>
      </c>
      <c r="H279" s="2">
        <v>956</v>
      </c>
      <c r="I279" s="2">
        <v>162</v>
      </c>
      <c r="J279" s="2">
        <v>-1209</v>
      </c>
      <c r="K279" s="4">
        <v>0.68500000000000005</v>
      </c>
      <c r="L279" s="4">
        <v>0.35199999999999998</v>
      </c>
      <c r="M279" s="2">
        <v>107.8</v>
      </c>
      <c r="N279" s="2">
        <v>94.7</v>
      </c>
      <c r="O279" s="2">
        <v>97.1</v>
      </c>
      <c r="P279" s="2">
        <v>105.2</v>
      </c>
      <c r="Q279" s="4">
        <v>0.57099999999999995</v>
      </c>
      <c r="R279" s="4">
        <v>0.51300000000000001</v>
      </c>
      <c r="S279" s="4">
        <v>0.53400000000000003</v>
      </c>
      <c r="T279" s="4">
        <v>0.55700000000000005</v>
      </c>
      <c r="U279" s="19">
        <f>Table2[[#This Row],[NET PF]]/Table2[[#This Row],[HOME GAMES]]</f>
        <v>-2.6451612903225805</v>
      </c>
      <c r="V279" s="28">
        <f>393/Table2[[#This Row],[AWAY GAMES]]</f>
        <v>2.425925925925926</v>
      </c>
      <c r="W279" s="4">
        <v>0.68899999999999995</v>
      </c>
      <c r="X279" s="4">
        <v>0.71699999999999997</v>
      </c>
      <c r="Y279" s="2">
        <v>-328</v>
      </c>
      <c r="Z279" s="2">
        <v>161</v>
      </c>
      <c r="AA279" s="8">
        <f>Table2[[#This Row],[HOME MARGIN]]/Table2[[#This Row],[HOME GAMES]]</f>
        <v>7.709677419354839</v>
      </c>
      <c r="AB279" s="8">
        <f>Table2[[#This Row],[AWAY MARGIN]]/Table2[[#This Row],[AWAY GAMES]]</f>
        <v>-7.4629629629629628</v>
      </c>
      <c r="AC279" s="8">
        <f>Table2[[#This Row],[HOME MARGIN/GAME]]-Table2[[#This Row],[AWAY MARGIN/GAME]]</f>
        <v>15.172640382317802</v>
      </c>
      <c r="AD279" s="23">
        <f>Table2[[#This Row],[HOME W/L%]]-Table2[[#This Row],[AWAY W/L%]]</f>
        <v>0.33300000000000007</v>
      </c>
      <c r="AE279" s="22"/>
      <c r="AF279"/>
    </row>
    <row r="280" spans="1:32" hidden="1" x14ac:dyDescent="0.2">
      <c r="A280" s="1">
        <v>90</v>
      </c>
      <c r="B280" s="1"/>
      <c r="C280" s="2" t="s">
        <v>264</v>
      </c>
      <c r="D280" s="2" t="str">
        <f>IF(COUNTIF($AG$3:$AG$20,C280)&gt;0,$AG$2,
 IF(COUNTIF($AH$3:$AH$20,C280)&gt;0,$AH$2,
 IF(COUNTIF($AI$3:$AI$20,C280)&gt;0,$AI$2,
 IF(COUNTIF($AJ$3:$AJ$20,C280)&gt;0,$AJ$2,
 IF(COUNTIF($AK$3:$AK$20,C280)&gt;0,$AK$2,
 IF(COUNTIF($AL$3:$AL$20,C280)&gt;0,$AL$2,
 IF(COUNTIF($AM$3:$AM$20,C280)&gt;0,$AM$2,"Not Found")))))))</f>
        <v>Not Found</v>
      </c>
      <c r="E280" s="2" t="s">
        <v>10</v>
      </c>
      <c r="F280" s="2" t="s">
        <v>11</v>
      </c>
      <c r="G280" s="2">
        <v>116</v>
      </c>
      <c r="H280" s="2">
        <v>1599</v>
      </c>
      <c r="I280" s="2">
        <v>171</v>
      </c>
      <c r="J280" s="2">
        <v>-1306</v>
      </c>
      <c r="K280" s="4">
        <v>0.80200000000000005</v>
      </c>
      <c r="L280" s="4">
        <v>0.30399999999999999</v>
      </c>
      <c r="M280" s="2">
        <v>107.7</v>
      </c>
      <c r="N280" s="2">
        <v>93.1</v>
      </c>
      <c r="O280" s="2">
        <v>88.6</v>
      </c>
      <c r="P280" s="2">
        <v>103.7</v>
      </c>
      <c r="Q280" s="4">
        <v>0.55800000000000005</v>
      </c>
      <c r="R280" s="4">
        <v>0.499</v>
      </c>
      <c r="S280" s="4">
        <v>0.497</v>
      </c>
      <c r="T280" s="4">
        <v>0.55300000000000005</v>
      </c>
      <c r="U280" s="19">
        <f>Table2[[#This Row],[NET PF]]/Table2[[#This Row],[HOME GAMES]]</f>
        <v>-0.57758620689655171</v>
      </c>
      <c r="V280" s="28">
        <f>393/Table2[[#This Row],[AWAY GAMES]]</f>
        <v>2.2982456140350878</v>
      </c>
      <c r="W280" s="4">
        <v>0.67400000000000004</v>
      </c>
      <c r="X280" s="4">
        <v>0.7</v>
      </c>
      <c r="Y280" s="2">
        <v>-67</v>
      </c>
      <c r="Z280" s="2">
        <v>549</v>
      </c>
      <c r="AA280" s="8">
        <f>Table2[[#This Row],[HOME MARGIN]]/Table2[[#This Row],[HOME GAMES]]</f>
        <v>13.78448275862069</v>
      </c>
      <c r="AB280" s="8">
        <f>Table2[[#This Row],[AWAY MARGIN]]/Table2[[#This Row],[AWAY GAMES]]</f>
        <v>-7.6374269005847957</v>
      </c>
      <c r="AC280" s="8">
        <f>Table2[[#This Row],[HOME MARGIN/GAME]]-Table2[[#This Row],[AWAY MARGIN/GAME]]</f>
        <v>21.421909659205486</v>
      </c>
      <c r="AD280" s="23">
        <f>Table2[[#This Row],[HOME W/L%]]-Table2[[#This Row],[AWAY W/L%]]</f>
        <v>0.49800000000000005</v>
      </c>
      <c r="AE280" s="22"/>
      <c r="AF280"/>
    </row>
    <row r="281" spans="1:32" x14ac:dyDescent="0.2">
      <c r="A281" s="1">
        <v>80</v>
      </c>
      <c r="B281" s="1">
        <v>42</v>
      </c>
      <c r="C281" s="2" t="s">
        <v>87</v>
      </c>
      <c r="D281" s="2" t="str">
        <f>IF(COUNTIF($AG$3:$AG$20,C281)&gt;0,$AG$2,
 IF(COUNTIF($AH$3:$AH$20,C281)&gt;0,$AH$2,
 IF(COUNTIF($AI$3:$AI$20,C281)&gt;0,$AI$2,
 IF(COUNTIF($AJ$3:$AJ$20,C281)&gt;0,$AJ$2,
 IF(COUNTIF($AK$3:$AK$20,C281)&gt;0,$AK$2,
 IF(COUNTIF($AL$3:$AL$20,C281)&gt;0,$AL$2,
 IF(COUNTIF($AM$3:$AM$20,C281)&gt;0,$AM$2,"Not Found")))))))</f>
        <v>Big 10</v>
      </c>
      <c r="E281" s="2" t="s">
        <v>10</v>
      </c>
      <c r="F281" s="2" t="s">
        <v>11</v>
      </c>
      <c r="G281" s="2">
        <v>166</v>
      </c>
      <c r="H281" s="2">
        <v>1697</v>
      </c>
      <c r="I281" s="2">
        <v>108</v>
      </c>
      <c r="J281" s="2">
        <v>-192</v>
      </c>
      <c r="K281" s="4">
        <v>0.78300000000000003</v>
      </c>
      <c r="L281" s="4">
        <v>0.45400000000000001</v>
      </c>
      <c r="M281" s="2">
        <v>109.3</v>
      </c>
      <c r="N281" s="2">
        <v>101.7</v>
      </c>
      <c r="O281" s="2">
        <v>95</v>
      </c>
      <c r="P281" s="2">
        <v>104.2</v>
      </c>
      <c r="Q281" s="4">
        <v>0.56200000000000006</v>
      </c>
      <c r="R281" s="4">
        <v>0.53100000000000003</v>
      </c>
      <c r="S281" s="4">
        <v>0.498</v>
      </c>
      <c r="T281" s="4">
        <v>0.53200000000000003</v>
      </c>
      <c r="U281" s="19">
        <f>Table2[[#This Row],[NET PF]]/Table2[[#This Row],[HOME GAMES]]</f>
        <v>-2.5843373493975905</v>
      </c>
      <c r="V281" s="28">
        <f>393/Table2[[#This Row],[AWAY GAMES]]</f>
        <v>3.6388888888888888</v>
      </c>
      <c r="W281" s="4">
        <v>0.70699999999999996</v>
      </c>
      <c r="X281" s="4">
        <v>0.72</v>
      </c>
      <c r="Y281" s="2">
        <v>-429</v>
      </c>
      <c r="Z281" s="2">
        <v>18</v>
      </c>
      <c r="AA281" s="8">
        <f>Table2[[#This Row],[HOME MARGIN]]/Table2[[#This Row],[HOME GAMES]]</f>
        <v>10.22289156626506</v>
      </c>
      <c r="AB281" s="8">
        <f>Table2[[#This Row],[AWAY MARGIN]]/Table2[[#This Row],[AWAY GAMES]]</f>
        <v>-1.7777777777777777</v>
      </c>
      <c r="AC281" s="8">
        <f>Table2[[#This Row],[HOME MARGIN/GAME]]-Table2[[#This Row],[AWAY MARGIN/GAME]]</f>
        <v>12.000669344042837</v>
      </c>
      <c r="AD281" s="23">
        <f>Table2[[#This Row],[HOME W/L%]]-Table2[[#This Row],[AWAY W/L%]]</f>
        <v>0.32900000000000001</v>
      </c>
      <c r="AE281" s="22"/>
      <c r="AF281"/>
    </row>
    <row r="282" spans="1:32" hidden="1" x14ac:dyDescent="0.2">
      <c r="A282" s="1">
        <v>192</v>
      </c>
      <c r="B282" s="1"/>
      <c r="C282" s="2" t="s">
        <v>162</v>
      </c>
      <c r="D282" s="2" t="str">
        <f>IF(COUNTIF($AG$3:$AG$20,C282)&gt;0,$AG$2,
 IF(COUNTIF($AH$3:$AH$20,C282)&gt;0,$AH$2,
 IF(COUNTIF($AI$3:$AI$20,C282)&gt;0,$AI$2,
 IF(COUNTIF($AJ$3:$AJ$20,C282)&gt;0,$AJ$2,
 IF(COUNTIF($AK$3:$AK$20,C282)&gt;0,$AK$2,
 IF(COUNTIF($AL$3:$AL$20,C282)&gt;0,$AL$2,
 IF(COUNTIF($AM$3:$AM$20,C282)&gt;0,$AM$2,"Not Found")))))))</f>
        <v>Not Found</v>
      </c>
      <c r="E282" s="2" t="s">
        <v>10</v>
      </c>
      <c r="F282" s="2" t="s">
        <v>11</v>
      </c>
      <c r="G282" s="2">
        <v>155</v>
      </c>
      <c r="H282" s="2">
        <v>1017</v>
      </c>
      <c r="I282" s="2">
        <v>127</v>
      </c>
      <c r="J282" s="2">
        <v>-483</v>
      </c>
      <c r="K282" s="4">
        <v>0.70299999999999996</v>
      </c>
      <c r="L282" s="4">
        <v>0.42499999999999999</v>
      </c>
      <c r="M282" s="2">
        <v>105.7</v>
      </c>
      <c r="N282" s="2">
        <v>97.6</v>
      </c>
      <c r="O282" s="2">
        <v>96</v>
      </c>
      <c r="P282" s="2">
        <v>103.2</v>
      </c>
      <c r="Q282" s="4">
        <v>0.56599999999999995</v>
      </c>
      <c r="R282" s="4">
        <v>0.52700000000000002</v>
      </c>
      <c r="S282" s="4">
        <v>0.51600000000000001</v>
      </c>
      <c r="T282" s="4">
        <v>0.55400000000000005</v>
      </c>
      <c r="U282" s="19">
        <f>Table2[[#This Row],[NET PF]]/Table2[[#This Row],[HOME GAMES]]</f>
        <v>-1.7483870967741935</v>
      </c>
      <c r="V282" s="28">
        <f>393/Table2[[#This Row],[AWAY GAMES]]</f>
        <v>3.0944881889763778</v>
      </c>
      <c r="W282" s="4">
        <v>0.67600000000000005</v>
      </c>
      <c r="X282" s="4">
        <v>0.71399999999999997</v>
      </c>
      <c r="Y282" s="2">
        <v>-271</v>
      </c>
      <c r="Z282" s="2">
        <v>144</v>
      </c>
      <c r="AA282" s="8">
        <f>Table2[[#This Row],[HOME MARGIN]]/Table2[[#This Row],[HOME GAMES]]</f>
        <v>6.5612903225806454</v>
      </c>
      <c r="AB282" s="8">
        <f>Table2[[#This Row],[AWAY MARGIN]]/Table2[[#This Row],[AWAY GAMES]]</f>
        <v>-3.8031496062992125</v>
      </c>
      <c r="AC282" s="8">
        <f>Table2[[#This Row],[HOME MARGIN/GAME]]-Table2[[#This Row],[AWAY MARGIN/GAME]]</f>
        <v>10.364439928879857</v>
      </c>
      <c r="AD282" s="23">
        <f>Table2[[#This Row],[HOME W/L%]]-Table2[[#This Row],[AWAY W/L%]]</f>
        <v>0.27799999999999997</v>
      </c>
      <c r="AE282" s="22"/>
      <c r="AF282"/>
    </row>
    <row r="283" spans="1:32" hidden="1" x14ac:dyDescent="0.2">
      <c r="A283" s="1">
        <v>333</v>
      </c>
      <c r="B283" s="1"/>
      <c r="C283" s="2" t="s">
        <v>127</v>
      </c>
      <c r="D283" s="2" t="str">
        <f>IF(COUNTIF($AG$3:$AG$20,C283)&gt;0,$AG$2,
 IF(COUNTIF($AH$3:$AH$20,C283)&gt;0,$AH$2,
 IF(COUNTIF($AI$3:$AI$20,C283)&gt;0,$AI$2,
 IF(COUNTIF($AJ$3:$AJ$20,C283)&gt;0,$AJ$2,
 IF(COUNTIF($AK$3:$AK$20,C283)&gt;0,$AK$2,
 IF(COUNTIF($AL$3:$AL$20,C283)&gt;0,$AL$2,
 IF(COUNTIF($AM$3:$AM$20,C283)&gt;0,$AM$2,"Not Found")))))))</f>
        <v>Not Found</v>
      </c>
      <c r="E283" s="2" t="s">
        <v>113</v>
      </c>
      <c r="F283" s="2" t="s">
        <v>11</v>
      </c>
      <c r="G283" s="2">
        <v>44</v>
      </c>
      <c r="H283" s="2">
        <v>246</v>
      </c>
      <c r="I283" s="2">
        <v>47</v>
      </c>
      <c r="J283" s="2">
        <v>-353</v>
      </c>
      <c r="K283" s="4">
        <v>0.52300000000000002</v>
      </c>
      <c r="L283" s="4">
        <v>0.21299999999999999</v>
      </c>
      <c r="M283" s="2">
        <v>104.1</v>
      </c>
      <c r="N283" s="2">
        <v>98.7</v>
      </c>
      <c r="O283" s="2">
        <v>96.3</v>
      </c>
      <c r="P283" s="2">
        <v>109.2</v>
      </c>
      <c r="Q283" s="4">
        <v>0.53800000000000003</v>
      </c>
      <c r="R283" s="4">
        <v>0.51800000000000002</v>
      </c>
      <c r="S283" s="4">
        <v>0.50600000000000001</v>
      </c>
      <c r="T283" s="4">
        <v>0.56699999999999995</v>
      </c>
      <c r="U283" s="19">
        <f>Table2[[#This Row],[NET PF]]/Table2[[#This Row],[HOME GAMES]]</f>
        <v>-1.4090909090909092</v>
      </c>
      <c r="V283" s="28">
        <f>393/Table2[[#This Row],[AWAY GAMES]]</f>
        <v>8.3617021276595747</v>
      </c>
      <c r="W283" s="4">
        <v>0.70899999999999996</v>
      </c>
      <c r="X283" s="4">
        <v>0.71099999999999997</v>
      </c>
      <c r="Y283" s="2">
        <v>-62</v>
      </c>
      <c r="Z283" s="2">
        <v>134</v>
      </c>
      <c r="AA283" s="8">
        <f>Table2[[#This Row],[HOME MARGIN]]/Table2[[#This Row],[HOME GAMES]]</f>
        <v>5.5909090909090908</v>
      </c>
      <c r="AB283" s="8">
        <f>Table2[[#This Row],[AWAY MARGIN]]/Table2[[#This Row],[AWAY GAMES]]</f>
        <v>-7.5106382978723403</v>
      </c>
      <c r="AC283" s="8">
        <f>Table2[[#This Row],[HOME MARGIN/GAME]]-Table2[[#This Row],[AWAY MARGIN/GAME]]</f>
        <v>13.10154738878143</v>
      </c>
      <c r="AD283" s="23">
        <f>Table2[[#This Row],[HOME W/L%]]-Table2[[#This Row],[AWAY W/L%]]</f>
        <v>0.31000000000000005</v>
      </c>
      <c r="AE283" s="22"/>
      <c r="AF283"/>
    </row>
    <row r="284" spans="1:32" hidden="1" x14ac:dyDescent="0.2">
      <c r="A284" s="1">
        <v>238</v>
      </c>
      <c r="B284" s="1"/>
      <c r="C284" s="2" t="s">
        <v>271</v>
      </c>
      <c r="D284" s="2" t="str">
        <f>IF(COUNTIF($AG$3:$AG$20,C284)&gt;0,$AG$2,
 IF(COUNTIF($AH$3:$AH$20,C284)&gt;0,$AH$2,
 IF(COUNTIF($AI$3:$AI$20,C284)&gt;0,$AI$2,
 IF(COUNTIF($AJ$3:$AJ$20,C284)&gt;0,$AJ$2,
 IF(COUNTIF($AK$3:$AK$20,C284)&gt;0,$AK$2,
 IF(COUNTIF($AL$3:$AL$20,C284)&gt;0,$AL$2,
 IF(COUNTIF($AM$3:$AM$20,C284)&gt;0,$AM$2,"Not Found")))))))</f>
        <v>Not Found</v>
      </c>
      <c r="E284" s="2" t="s">
        <v>10</v>
      </c>
      <c r="F284" s="2" t="s">
        <v>11</v>
      </c>
      <c r="G284" s="2">
        <v>143</v>
      </c>
      <c r="H284" s="2">
        <v>770</v>
      </c>
      <c r="I284" s="2">
        <v>134</v>
      </c>
      <c r="J284" s="2">
        <v>-1265</v>
      </c>
      <c r="K284" s="4">
        <v>0.61499999999999999</v>
      </c>
      <c r="L284" s="4">
        <v>0.224</v>
      </c>
      <c r="M284" s="2">
        <v>103.6</v>
      </c>
      <c r="N284" s="2">
        <v>92.8</v>
      </c>
      <c r="O284" s="2">
        <v>96</v>
      </c>
      <c r="P284" s="2">
        <v>106.5</v>
      </c>
      <c r="Q284" s="4">
        <v>0.54900000000000004</v>
      </c>
      <c r="R284" s="4">
        <v>0.501</v>
      </c>
      <c r="S284" s="4">
        <v>0.51500000000000001</v>
      </c>
      <c r="T284" s="4">
        <v>0.54800000000000004</v>
      </c>
      <c r="U284" s="19">
        <f>Table2[[#This Row],[NET PF]]/Table2[[#This Row],[HOME GAMES]]</f>
        <v>-1.3006993006993006</v>
      </c>
      <c r="V284" s="28">
        <f>393/Table2[[#This Row],[AWAY GAMES]]</f>
        <v>2.9328358208955225</v>
      </c>
      <c r="W284" s="4">
        <v>0.68</v>
      </c>
      <c r="X284" s="4">
        <v>0.71099999999999997</v>
      </c>
      <c r="Y284" s="2">
        <v>-186</v>
      </c>
      <c r="Z284" s="2">
        <v>257</v>
      </c>
      <c r="AA284" s="8">
        <f>Table2[[#This Row],[HOME MARGIN]]/Table2[[#This Row],[HOME GAMES]]</f>
        <v>5.384615384615385</v>
      </c>
      <c r="AB284" s="8">
        <f>Table2[[#This Row],[AWAY MARGIN]]/Table2[[#This Row],[AWAY GAMES]]</f>
        <v>-9.4402985074626873</v>
      </c>
      <c r="AC284" s="8">
        <f>Table2[[#This Row],[HOME MARGIN/GAME]]-Table2[[#This Row],[AWAY MARGIN/GAME]]</f>
        <v>14.824913892078072</v>
      </c>
      <c r="AD284" s="23">
        <f>Table2[[#This Row],[HOME W/L%]]-Table2[[#This Row],[AWAY W/L%]]</f>
        <v>0.39100000000000001</v>
      </c>
      <c r="AE284" s="22"/>
      <c r="AF284"/>
    </row>
    <row r="285" spans="1:32" hidden="1" x14ac:dyDescent="0.2">
      <c r="A285" s="1">
        <v>174</v>
      </c>
      <c r="B285" s="1"/>
      <c r="C285" s="2" t="s">
        <v>300</v>
      </c>
      <c r="D285" s="2" t="str">
        <f>IF(COUNTIF($AG$3:$AG$20,C285)&gt;0,$AG$2,
 IF(COUNTIF($AH$3:$AH$20,C285)&gt;0,$AH$2,
 IF(COUNTIF($AI$3:$AI$20,C285)&gt;0,$AI$2,
 IF(COUNTIF($AJ$3:$AJ$20,C285)&gt;0,$AJ$2,
 IF(COUNTIF($AK$3:$AK$20,C285)&gt;0,$AK$2,
 IF(COUNTIF($AL$3:$AL$20,C285)&gt;0,$AL$2,
 IF(COUNTIF($AM$3:$AM$20,C285)&gt;0,$AM$2,"Not Found")))))))</f>
        <v>Not Found</v>
      </c>
      <c r="E285" s="2" t="s">
        <v>10</v>
      </c>
      <c r="F285" s="2" t="s">
        <v>11</v>
      </c>
      <c r="G285" s="2">
        <v>139</v>
      </c>
      <c r="H285" s="2">
        <v>1111</v>
      </c>
      <c r="I285" s="2">
        <v>144</v>
      </c>
      <c r="J285" s="2">
        <v>-1060</v>
      </c>
      <c r="K285" s="4">
        <v>0.61899999999999999</v>
      </c>
      <c r="L285" s="4">
        <v>0.27800000000000002</v>
      </c>
      <c r="M285" s="2">
        <v>108.1</v>
      </c>
      <c r="N285" s="2">
        <v>97</v>
      </c>
      <c r="O285" s="2">
        <v>97.4</v>
      </c>
      <c r="P285" s="2">
        <v>107.1</v>
      </c>
      <c r="Q285" s="4">
        <v>0.56899999999999995</v>
      </c>
      <c r="R285" s="4">
        <v>0.51900000000000002</v>
      </c>
      <c r="S285" s="4">
        <v>0.52800000000000002</v>
      </c>
      <c r="T285" s="4">
        <v>0.56100000000000005</v>
      </c>
      <c r="U285" s="19">
        <f>Table2[[#This Row],[NET PF]]/Table2[[#This Row],[HOME GAMES]]</f>
        <v>-1.6115107913669064</v>
      </c>
      <c r="V285" s="28">
        <f>393/Table2[[#This Row],[AWAY GAMES]]</f>
        <v>2.7291666666666665</v>
      </c>
      <c r="W285" s="4">
        <v>0.70599999999999996</v>
      </c>
      <c r="X285" s="4">
        <v>0.71699999999999997</v>
      </c>
      <c r="Y285" s="2">
        <v>-224</v>
      </c>
      <c r="Z285" s="2">
        <v>212</v>
      </c>
      <c r="AA285" s="8">
        <f>Table2[[#This Row],[HOME MARGIN]]/Table2[[#This Row],[HOME GAMES]]</f>
        <v>7.9928057553956835</v>
      </c>
      <c r="AB285" s="8">
        <f>Table2[[#This Row],[AWAY MARGIN]]/Table2[[#This Row],[AWAY GAMES]]</f>
        <v>-7.3611111111111107</v>
      </c>
      <c r="AC285" s="8">
        <f>Table2[[#This Row],[HOME MARGIN/GAME]]-Table2[[#This Row],[AWAY MARGIN/GAME]]</f>
        <v>15.353916866506793</v>
      </c>
      <c r="AD285" s="23">
        <f>Table2[[#This Row],[HOME W/L%]]-Table2[[#This Row],[AWAY W/L%]]</f>
        <v>0.34099999999999997</v>
      </c>
      <c r="AE285" s="22"/>
      <c r="AF285"/>
    </row>
    <row r="286" spans="1:32" hidden="1" x14ac:dyDescent="0.2">
      <c r="A286" s="1">
        <v>138</v>
      </c>
      <c r="B286" s="1"/>
      <c r="C286" s="2" t="s">
        <v>74</v>
      </c>
      <c r="D286" s="2" t="str">
        <f>IF(COUNTIF($AG$3:$AG$20,C286)&gt;0,$AG$2,
 IF(COUNTIF($AH$3:$AH$20,C286)&gt;0,$AH$2,
 IF(COUNTIF($AI$3:$AI$20,C286)&gt;0,$AI$2,
 IF(COUNTIF($AJ$3:$AJ$20,C286)&gt;0,$AJ$2,
 IF(COUNTIF($AK$3:$AK$20,C286)&gt;0,$AK$2,
 IF(COUNTIF($AL$3:$AL$20,C286)&gt;0,$AL$2,
 IF(COUNTIF($AM$3:$AM$20,C286)&gt;0,$AM$2,"Not Found")))))))</f>
        <v>Not Found</v>
      </c>
      <c r="E286" s="2" t="s">
        <v>10</v>
      </c>
      <c r="F286" s="2" t="s">
        <v>11</v>
      </c>
      <c r="G286" s="2">
        <v>142</v>
      </c>
      <c r="H286" s="2">
        <v>1321</v>
      </c>
      <c r="I286" s="2">
        <v>115</v>
      </c>
      <c r="J286" s="2">
        <v>-93</v>
      </c>
      <c r="K286" s="4">
        <v>0.78200000000000003</v>
      </c>
      <c r="L286" s="4">
        <v>0.496</v>
      </c>
      <c r="M286" s="2">
        <v>109.6</v>
      </c>
      <c r="N286" s="2">
        <v>99.3</v>
      </c>
      <c r="O286" s="2">
        <v>96.2</v>
      </c>
      <c r="P286" s="2">
        <v>100.5</v>
      </c>
      <c r="Q286" s="4">
        <v>0.56699999999999995</v>
      </c>
      <c r="R286" s="4">
        <v>0.51800000000000002</v>
      </c>
      <c r="S286" s="4">
        <v>0.51400000000000001</v>
      </c>
      <c r="T286" s="4">
        <v>0.53700000000000003</v>
      </c>
      <c r="U286" s="19">
        <f>Table2[[#This Row],[NET PF]]/Table2[[#This Row],[HOME GAMES]]</f>
        <v>-1.7816901408450705</v>
      </c>
      <c r="V286" s="28">
        <f>393/Table2[[#This Row],[AWAY GAMES]]</f>
        <v>3.4173913043478259</v>
      </c>
      <c r="W286" s="4">
        <v>0.68400000000000005</v>
      </c>
      <c r="X286" s="4">
        <v>0.70199999999999996</v>
      </c>
      <c r="Y286" s="2">
        <v>-253</v>
      </c>
      <c r="Z286" s="2">
        <v>292</v>
      </c>
      <c r="AA286" s="8">
        <f>Table2[[#This Row],[HOME MARGIN]]/Table2[[#This Row],[HOME GAMES]]</f>
        <v>9.3028169014084501</v>
      </c>
      <c r="AB286" s="8">
        <f>Table2[[#This Row],[AWAY MARGIN]]/Table2[[#This Row],[AWAY GAMES]]</f>
        <v>-0.80869565217391304</v>
      </c>
      <c r="AC286" s="8">
        <f>Table2[[#This Row],[HOME MARGIN/GAME]]-Table2[[#This Row],[AWAY MARGIN/GAME]]</f>
        <v>10.111512553582363</v>
      </c>
      <c r="AD286" s="23">
        <f>Table2[[#This Row],[HOME W/L%]]-Table2[[#This Row],[AWAY W/L%]]</f>
        <v>0.28600000000000003</v>
      </c>
      <c r="AE286" s="22"/>
      <c r="AF286"/>
    </row>
    <row r="287" spans="1:32" hidden="1" x14ac:dyDescent="0.2">
      <c r="A287" s="1">
        <v>330</v>
      </c>
      <c r="B287" s="1"/>
      <c r="C287" s="2" t="s">
        <v>340</v>
      </c>
      <c r="D287" s="2" t="str">
        <f>IF(COUNTIF($AG$3:$AG$20,C287)&gt;0,$AG$2,
 IF(COUNTIF($AH$3:$AH$20,C287)&gt;0,$AH$2,
 IF(COUNTIF($AI$3:$AI$20,C287)&gt;0,$AI$2,
 IF(COUNTIF($AJ$3:$AJ$20,C287)&gt;0,$AJ$2,
 IF(COUNTIF($AK$3:$AK$20,C287)&gt;0,$AK$2,
 IF(COUNTIF($AL$3:$AL$20,C287)&gt;0,$AL$2,
 IF(COUNTIF($AM$3:$AM$20,C287)&gt;0,$AM$2,"Not Found")))))))</f>
        <v>Not Found</v>
      </c>
      <c r="E287" s="2" t="s">
        <v>10</v>
      </c>
      <c r="F287" s="2" t="s">
        <v>113</v>
      </c>
      <c r="G287" s="2">
        <v>104</v>
      </c>
      <c r="H287" s="2">
        <v>268</v>
      </c>
      <c r="I287" s="2">
        <v>118</v>
      </c>
      <c r="J287" s="2">
        <v>-855</v>
      </c>
      <c r="K287" s="4">
        <v>0.56699999999999995</v>
      </c>
      <c r="L287" s="4">
        <v>0.29699999999999999</v>
      </c>
      <c r="M287" s="2">
        <v>100.8</v>
      </c>
      <c r="N287" s="2">
        <v>92.9</v>
      </c>
      <c r="O287" s="2">
        <v>97.2</v>
      </c>
      <c r="P287" s="2">
        <v>103.1</v>
      </c>
      <c r="Q287" s="4">
        <v>0.51500000000000001</v>
      </c>
      <c r="R287" s="4">
        <v>0.48899999999999999</v>
      </c>
      <c r="S287" s="4">
        <v>0.52600000000000002</v>
      </c>
      <c r="T287" s="4">
        <v>0.54900000000000004</v>
      </c>
      <c r="U287" s="19">
        <f>Table2[[#This Row],[NET PF]]/Table2[[#This Row],[HOME GAMES]]</f>
        <v>0.68269230769230771</v>
      </c>
      <c r="V287" s="28">
        <f>393/Table2[[#This Row],[AWAY GAMES]]</f>
        <v>3.3305084745762712</v>
      </c>
      <c r="W287" s="4">
        <v>0.71</v>
      </c>
      <c r="X287" s="4">
        <v>0.70699999999999996</v>
      </c>
      <c r="Y287" s="2">
        <v>71</v>
      </c>
      <c r="Z287" s="2">
        <v>299</v>
      </c>
      <c r="AA287" s="8">
        <f>Table2[[#This Row],[HOME MARGIN]]/Table2[[#This Row],[HOME GAMES]]</f>
        <v>2.5769230769230771</v>
      </c>
      <c r="AB287" s="8">
        <f>Table2[[#This Row],[AWAY MARGIN]]/Table2[[#This Row],[AWAY GAMES]]</f>
        <v>-7.2457627118644066</v>
      </c>
      <c r="AC287" s="8">
        <f>Table2[[#This Row],[HOME MARGIN/GAME]]-Table2[[#This Row],[AWAY MARGIN/GAME]]</f>
        <v>9.8226857887874832</v>
      </c>
      <c r="AD287" s="23">
        <f>Table2[[#This Row],[HOME W/L%]]-Table2[[#This Row],[AWAY W/L%]]</f>
        <v>0.26999999999999996</v>
      </c>
      <c r="AE287" s="22"/>
      <c r="AF287"/>
    </row>
    <row r="288" spans="1:32" x14ac:dyDescent="0.2">
      <c r="A288" s="1">
        <v>146</v>
      </c>
      <c r="B288" s="1">
        <v>58</v>
      </c>
      <c r="C288" s="2" t="s">
        <v>154</v>
      </c>
      <c r="D288" s="2" t="str">
        <f>IF(COUNTIF($AG$3:$AG$20,C288)&gt;0,$AG$2,
 IF(COUNTIF($AH$3:$AH$20,C288)&gt;0,$AH$2,
 IF(COUNTIF($AI$3:$AI$20,C288)&gt;0,$AI$2,
 IF(COUNTIF($AJ$3:$AJ$20,C288)&gt;0,$AJ$2,
 IF(COUNTIF($AK$3:$AK$20,C288)&gt;0,$AK$2,
 IF(COUNTIF($AL$3:$AL$20,C288)&gt;0,$AL$2,
 IF(COUNTIF($AM$3:$AM$20,C288)&gt;0,$AM$2,"Not Found")))))))</f>
        <v>Big East</v>
      </c>
      <c r="E288" s="2" t="s">
        <v>10</v>
      </c>
      <c r="F288" s="2" t="s">
        <v>11</v>
      </c>
      <c r="G288" s="2">
        <v>168</v>
      </c>
      <c r="H288" s="2">
        <v>1269</v>
      </c>
      <c r="I288" s="2">
        <v>105</v>
      </c>
      <c r="J288" s="2">
        <v>-448</v>
      </c>
      <c r="K288" s="4">
        <v>0.68500000000000005</v>
      </c>
      <c r="L288" s="4">
        <v>0.33300000000000002</v>
      </c>
      <c r="M288" s="2">
        <v>104.3</v>
      </c>
      <c r="N288" s="2">
        <v>99.8</v>
      </c>
      <c r="O288" s="2">
        <v>94.2</v>
      </c>
      <c r="P288" s="2">
        <v>105.5</v>
      </c>
      <c r="Q288" s="4">
        <v>0.53600000000000003</v>
      </c>
      <c r="R288" s="4">
        <v>0.51400000000000001</v>
      </c>
      <c r="S288" s="4">
        <v>0.51400000000000001</v>
      </c>
      <c r="T288" s="4">
        <v>0.56100000000000005</v>
      </c>
      <c r="U288" s="19">
        <f>Table2[[#This Row],[NET PF]]/Table2[[#This Row],[HOME GAMES]]</f>
        <v>-0.27976190476190477</v>
      </c>
      <c r="V288" s="28">
        <f>393/Table2[[#This Row],[AWAY GAMES]]</f>
        <v>3.7428571428571429</v>
      </c>
      <c r="W288" s="4">
        <v>0.68799999999999994</v>
      </c>
      <c r="X288" s="4">
        <v>0.72099999999999997</v>
      </c>
      <c r="Y288" s="2">
        <v>-47</v>
      </c>
      <c r="Z288" s="2">
        <v>297</v>
      </c>
      <c r="AA288" s="8">
        <f>Table2[[#This Row],[HOME MARGIN]]/Table2[[#This Row],[HOME GAMES]]</f>
        <v>7.5535714285714288</v>
      </c>
      <c r="AB288" s="8">
        <f>Table2[[#This Row],[AWAY MARGIN]]/Table2[[#This Row],[AWAY GAMES]]</f>
        <v>-4.2666666666666666</v>
      </c>
      <c r="AC288" s="8">
        <f>Table2[[#This Row],[HOME MARGIN/GAME]]-Table2[[#This Row],[AWAY MARGIN/GAME]]</f>
        <v>11.820238095238096</v>
      </c>
      <c r="AD288" s="23">
        <f>Table2[[#This Row],[HOME W/L%]]-Table2[[#This Row],[AWAY W/L%]]</f>
        <v>0.35200000000000004</v>
      </c>
      <c r="AE288" s="22"/>
      <c r="AF288"/>
    </row>
    <row r="289" spans="1:32" hidden="1" x14ac:dyDescent="0.2">
      <c r="A289" s="1">
        <v>7</v>
      </c>
      <c r="B289" s="1"/>
      <c r="C289" s="2" t="s">
        <v>12</v>
      </c>
      <c r="D289" s="2" t="str">
        <f>IF(COUNTIF($AG$3:$AG$20,C289)&gt;0,$AG$2,
 IF(COUNTIF($AH$3:$AH$20,C289)&gt;0,$AH$2,
 IF(COUNTIF($AI$3:$AI$20,C289)&gt;0,$AI$2,
 IF(COUNTIF($AJ$3:$AJ$20,C289)&gt;0,$AJ$2,
 IF(COUNTIF($AK$3:$AK$20,C289)&gt;0,$AK$2,
 IF(COUNTIF($AL$3:$AL$20,C289)&gt;0,$AL$2,
 IF(COUNTIF($AM$3:$AM$20,C289)&gt;0,$AM$2,"Not Found")))))))</f>
        <v>Not Found</v>
      </c>
      <c r="E289" s="2" t="s">
        <v>10</v>
      </c>
      <c r="F289" s="2" t="s">
        <v>11</v>
      </c>
      <c r="G289" s="2">
        <v>168</v>
      </c>
      <c r="H289" s="2">
        <v>2706</v>
      </c>
      <c r="I289" s="2">
        <v>94</v>
      </c>
      <c r="J289" s="2">
        <v>786</v>
      </c>
      <c r="K289" s="4">
        <v>0.88100000000000001</v>
      </c>
      <c r="L289" s="4">
        <v>0.755</v>
      </c>
      <c r="M289" s="2">
        <v>116.3</v>
      </c>
      <c r="N289" s="2">
        <v>109.3</v>
      </c>
      <c r="O289" s="2">
        <v>91.6</v>
      </c>
      <c r="P289" s="2">
        <v>96.4</v>
      </c>
      <c r="Q289" s="4">
        <v>0.58799999999999997</v>
      </c>
      <c r="R289" s="4">
        <v>0.56100000000000005</v>
      </c>
      <c r="S289" s="4">
        <v>0.49399999999999999</v>
      </c>
      <c r="T289" s="4">
        <v>0.50800000000000001</v>
      </c>
      <c r="U289" s="19">
        <f>Table2[[#This Row],[NET PF]]/Table2[[#This Row],[HOME GAMES]]</f>
        <v>-1.1190476190476191</v>
      </c>
      <c r="V289" s="28">
        <f>393/Table2[[#This Row],[AWAY GAMES]]</f>
        <v>4.1808510638297873</v>
      </c>
      <c r="W289" s="4">
        <v>0.70799999999999996</v>
      </c>
      <c r="X289" s="4">
        <v>0.71499999999999997</v>
      </c>
      <c r="Y289" s="2">
        <v>-188</v>
      </c>
      <c r="Z289" s="2">
        <v>79</v>
      </c>
      <c r="AA289" s="8">
        <f>Table2[[#This Row],[HOME MARGIN]]/Table2[[#This Row],[HOME GAMES]]</f>
        <v>16.107142857142858</v>
      </c>
      <c r="AB289" s="8">
        <f>Table2[[#This Row],[AWAY MARGIN]]/Table2[[#This Row],[AWAY GAMES]]</f>
        <v>8.3617021276595747</v>
      </c>
      <c r="AC289" s="8">
        <f>Table2[[#This Row],[HOME MARGIN/GAME]]-Table2[[#This Row],[AWAY MARGIN/GAME]]</f>
        <v>7.745440729483283</v>
      </c>
      <c r="AD289" s="23">
        <f>Table2[[#This Row],[HOME W/L%]]-Table2[[#This Row],[AWAY W/L%]]</f>
        <v>0.126</v>
      </c>
      <c r="AE289" s="22"/>
      <c r="AF289"/>
    </row>
    <row r="290" spans="1:32" hidden="1" x14ac:dyDescent="0.2">
      <c r="A290" s="1">
        <v>236</v>
      </c>
      <c r="B290" s="1"/>
      <c r="C290" s="2" t="s">
        <v>93</v>
      </c>
      <c r="D290" s="2" t="str">
        <f>IF(COUNTIF($AG$3:$AG$20,C290)&gt;0,$AG$2,
 IF(COUNTIF($AH$3:$AH$20,C290)&gt;0,$AH$2,
 IF(COUNTIF($AI$3:$AI$20,C290)&gt;0,$AI$2,
 IF(COUNTIF($AJ$3:$AJ$20,C290)&gt;0,$AJ$2,
 IF(COUNTIF($AK$3:$AK$20,C290)&gt;0,$AK$2,
 IF(COUNTIF($AL$3:$AL$20,C290)&gt;0,$AL$2,
 IF(COUNTIF($AM$3:$AM$20,C290)&gt;0,$AM$2,"Not Found")))))))</f>
        <v>Not Found</v>
      </c>
      <c r="E290" s="2" t="s">
        <v>94</v>
      </c>
      <c r="F290" s="2" t="s">
        <v>11</v>
      </c>
      <c r="G290" s="2">
        <v>55</v>
      </c>
      <c r="H290" s="2">
        <v>798</v>
      </c>
      <c r="I290" s="2">
        <v>60</v>
      </c>
      <c r="J290" s="2">
        <v>-225</v>
      </c>
      <c r="K290" s="4">
        <v>0.78200000000000003</v>
      </c>
      <c r="L290" s="4">
        <v>0.33300000000000002</v>
      </c>
      <c r="M290" s="2">
        <v>119.7</v>
      </c>
      <c r="N290" s="2">
        <v>105.5</v>
      </c>
      <c r="O290" s="2">
        <v>98.6</v>
      </c>
      <c r="P290" s="2">
        <v>111</v>
      </c>
      <c r="Q290" s="4">
        <v>0.60699999999999998</v>
      </c>
      <c r="R290" s="4">
        <v>0.55200000000000005</v>
      </c>
      <c r="S290" s="4">
        <v>0.53500000000000003</v>
      </c>
      <c r="T290" s="4">
        <v>0.58299999999999996</v>
      </c>
      <c r="U290" s="19">
        <f>Table2[[#This Row],[NET PF]]/Table2[[#This Row],[HOME GAMES]]</f>
        <v>-0.98181818181818181</v>
      </c>
      <c r="V290" s="28">
        <f>393/Table2[[#This Row],[AWAY GAMES]]</f>
        <v>6.55</v>
      </c>
      <c r="W290" s="4">
        <v>0.70599999999999996</v>
      </c>
      <c r="X290" s="4">
        <v>0.76200000000000001</v>
      </c>
      <c r="Y290" s="2">
        <v>-54</v>
      </c>
      <c r="Z290" s="2">
        <v>91</v>
      </c>
      <c r="AA290" s="8">
        <f>Table2[[#This Row],[HOME MARGIN]]/Table2[[#This Row],[HOME GAMES]]</f>
        <v>14.50909090909091</v>
      </c>
      <c r="AB290" s="8">
        <f>Table2[[#This Row],[AWAY MARGIN]]/Table2[[#This Row],[AWAY GAMES]]</f>
        <v>-3.75</v>
      </c>
      <c r="AC290" s="8">
        <f>Table2[[#This Row],[HOME MARGIN/GAME]]-Table2[[#This Row],[AWAY MARGIN/GAME]]</f>
        <v>18.259090909090908</v>
      </c>
      <c r="AD290" s="23">
        <f>Table2[[#This Row],[HOME W/L%]]-Table2[[#This Row],[AWAY W/L%]]</f>
        <v>0.44900000000000001</v>
      </c>
      <c r="AE290" s="22"/>
      <c r="AF290"/>
    </row>
    <row r="291" spans="1:32" x14ac:dyDescent="0.2">
      <c r="A291" s="1">
        <v>170</v>
      </c>
      <c r="B291" s="1">
        <v>59</v>
      </c>
      <c r="C291" s="2" t="s">
        <v>370</v>
      </c>
      <c r="D291" s="2" t="str">
        <f>IF(COUNTIF($AG$3:$AG$20,C291)&gt;0,$AG$2,
 IF(COUNTIF($AH$3:$AH$20,C291)&gt;0,$AH$2,
 IF(COUNTIF($AI$3:$AI$20,C291)&gt;0,$AI$2,
 IF(COUNTIF($AJ$3:$AJ$20,C291)&gt;0,$AJ$2,
 IF(COUNTIF($AK$3:$AK$20,C291)&gt;0,$AK$2,
 IF(COUNTIF($AL$3:$AL$20,C291)&gt;0,$AL$2,
 IF(COUNTIF($AM$3:$AM$20,C291)&gt;0,$AM$2,"Not Found")))))))</f>
        <v>ACC</v>
      </c>
      <c r="E291" s="2" t="s">
        <v>10</v>
      </c>
      <c r="F291" s="2" t="s">
        <v>11</v>
      </c>
      <c r="G291" s="2">
        <v>155</v>
      </c>
      <c r="H291" s="2">
        <v>1147</v>
      </c>
      <c r="I291" s="2">
        <v>110</v>
      </c>
      <c r="J291" s="2">
        <v>-711</v>
      </c>
      <c r="K291" s="4">
        <v>0.70299999999999996</v>
      </c>
      <c r="L291" s="4">
        <v>0.29099999999999998</v>
      </c>
      <c r="M291" s="2">
        <v>106.9</v>
      </c>
      <c r="N291" s="2">
        <v>96.6</v>
      </c>
      <c r="O291" s="2">
        <v>96.4</v>
      </c>
      <c r="P291" s="2">
        <v>105.9</v>
      </c>
      <c r="Q291" s="4">
        <v>0.56799999999999995</v>
      </c>
      <c r="R291" s="4">
        <v>0.52100000000000002</v>
      </c>
      <c r="S291" s="4">
        <v>0.51800000000000002</v>
      </c>
      <c r="T291" s="4">
        <v>0.55400000000000005</v>
      </c>
      <c r="U291" s="19">
        <f>Table2[[#This Row],[NET PF]]/Table2[[#This Row],[HOME GAMES]]</f>
        <v>-2.0064516129032257</v>
      </c>
      <c r="V291" s="28">
        <f>393/Table2[[#This Row],[AWAY GAMES]]</f>
        <v>3.5727272727272728</v>
      </c>
      <c r="W291" s="4">
        <v>0.68200000000000005</v>
      </c>
      <c r="X291" s="4">
        <v>0.72099999999999997</v>
      </c>
      <c r="Y291" s="2">
        <v>-311</v>
      </c>
      <c r="Z291" s="2">
        <v>171</v>
      </c>
      <c r="AA291" s="8">
        <f>Table2[[#This Row],[HOME MARGIN]]/Table2[[#This Row],[HOME GAMES]]</f>
        <v>7.4</v>
      </c>
      <c r="AB291" s="8">
        <f>Table2[[#This Row],[AWAY MARGIN]]/Table2[[#This Row],[AWAY GAMES]]</f>
        <v>-6.4636363636363638</v>
      </c>
      <c r="AC291" s="8">
        <f>Table2[[#This Row],[HOME MARGIN/GAME]]-Table2[[#This Row],[AWAY MARGIN/GAME]]</f>
        <v>13.863636363636363</v>
      </c>
      <c r="AD291" s="23">
        <f>Table2[[#This Row],[HOME W/L%]]-Table2[[#This Row],[AWAY W/L%]]</f>
        <v>0.41199999999999998</v>
      </c>
      <c r="AE291" s="22"/>
      <c r="AF291"/>
    </row>
    <row r="292" spans="1:32" hidden="1" x14ac:dyDescent="0.2">
      <c r="A292" s="1">
        <v>33</v>
      </c>
      <c r="B292" s="1"/>
      <c r="C292" s="2" t="s">
        <v>63</v>
      </c>
      <c r="D292" s="2" t="str">
        <f>IF(COUNTIF($AG$3:$AG$20,C292)&gt;0,$AG$2,
 IF(COUNTIF($AH$3:$AH$20,C292)&gt;0,$AH$2,
 IF(COUNTIF($AI$3:$AI$20,C292)&gt;0,$AI$2,
 IF(COUNTIF($AJ$3:$AJ$20,C292)&gt;0,$AJ$2,
 IF(COUNTIF($AK$3:$AK$20,C292)&gt;0,$AK$2,
 IF(COUNTIF($AL$3:$AL$20,C292)&gt;0,$AL$2,
 IF(COUNTIF($AM$3:$AM$20,C292)&gt;0,$AM$2,"Not Found")))))))</f>
        <v>Not Found</v>
      </c>
      <c r="E292" s="2" t="s">
        <v>10</v>
      </c>
      <c r="F292" s="2" t="s">
        <v>11</v>
      </c>
      <c r="G292" s="2">
        <v>152</v>
      </c>
      <c r="H292" s="2">
        <v>2079</v>
      </c>
      <c r="I292" s="2">
        <v>126</v>
      </c>
      <c r="J292" s="2">
        <v>-51</v>
      </c>
      <c r="K292" s="4">
        <v>0.79600000000000004</v>
      </c>
      <c r="L292" s="4">
        <v>0.53200000000000003</v>
      </c>
      <c r="M292" s="2">
        <v>107.5</v>
      </c>
      <c r="N292" s="2">
        <v>99.2</v>
      </c>
      <c r="O292" s="2">
        <v>89</v>
      </c>
      <c r="P292" s="2">
        <v>99.8</v>
      </c>
      <c r="Q292" s="4">
        <v>0.57399999999999995</v>
      </c>
      <c r="R292" s="4">
        <v>0.53800000000000003</v>
      </c>
      <c r="S292" s="4">
        <v>0.51200000000000001</v>
      </c>
      <c r="T292" s="4">
        <v>0.55600000000000005</v>
      </c>
      <c r="U292" s="19">
        <f>Table2[[#This Row],[NET PF]]/Table2[[#This Row],[HOME GAMES]]</f>
        <v>-0.86184210526315785</v>
      </c>
      <c r="V292" s="28">
        <f>393/Table2[[#This Row],[AWAY GAMES]]</f>
        <v>3.1190476190476191</v>
      </c>
      <c r="W292" s="4">
        <v>0.68700000000000006</v>
      </c>
      <c r="X292" s="4">
        <v>0.70799999999999996</v>
      </c>
      <c r="Y292" s="2">
        <v>-131</v>
      </c>
      <c r="Z292" s="2">
        <v>257</v>
      </c>
      <c r="AA292" s="8">
        <f>Table2[[#This Row],[HOME MARGIN]]/Table2[[#This Row],[HOME GAMES]]</f>
        <v>13.677631578947368</v>
      </c>
      <c r="AB292" s="8">
        <f>Table2[[#This Row],[AWAY MARGIN]]/Table2[[#This Row],[AWAY GAMES]]</f>
        <v>-0.40476190476190477</v>
      </c>
      <c r="AC292" s="8">
        <f>Table2[[#This Row],[HOME MARGIN/GAME]]-Table2[[#This Row],[AWAY MARGIN/GAME]]</f>
        <v>14.082393483709273</v>
      </c>
      <c r="AD292" s="23">
        <f>Table2[[#This Row],[HOME W/L%]]-Table2[[#This Row],[AWAY W/L%]]</f>
        <v>0.26400000000000001</v>
      </c>
      <c r="AE292" s="22"/>
      <c r="AF292"/>
    </row>
    <row r="293" spans="1:32" hidden="1" x14ac:dyDescent="0.2">
      <c r="A293" s="1">
        <v>253</v>
      </c>
      <c r="B293" s="1"/>
      <c r="C293" s="2" t="s">
        <v>258</v>
      </c>
      <c r="D293" s="2" t="str">
        <f>IF(COUNTIF($AG$3:$AG$20,C293)&gt;0,$AG$2,
 IF(COUNTIF($AH$3:$AH$20,C293)&gt;0,$AH$2,
 IF(COUNTIF($AI$3:$AI$20,C293)&gt;0,$AI$2,
 IF(COUNTIF($AJ$3:$AJ$20,C293)&gt;0,$AJ$2,
 IF(COUNTIF($AK$3:$AK$20,C293)&gt;0,$AK$2,
 IF(COUNTIF($AL$3:$AL$20,C293)&gt;0,$AL$2,
 IF(COUNTIF($AM$3:$AM$20,C293)&gt;0,$AM$2,"Not Found")))))))</f>
        <v>Not Found</v>
      </c>
      <c r="E293" s="2" t="s">
        <v>10</v>
      </c>
      <c r="F293" s="2" t="s">
        <v>11</v>
      </c>
      <c r="G293" s="2">
        <v>139</v>
      </c>
      <c r="H293" s="2">
        <v>718</v>
      </c>
      <c r="I293" s="2">
        <v>148</v>
      </c>
      <c r="J293" s="2">
        <v>-1421</v>
      </c>
      <c r="K293" s="4">
        <v>0.53200000000000003</v>
      </c>
      <c r="L293" s="4">
        <v>0.28399999999999997</v>
      </c>
      <c r="M293" s="2">
        <v>108.4</v>
      </c>
      <c r="N293" s="2">
        <v>97.2</v>
      </c>
      <c r="O293" s="2">
        <v>101.2</v>
      </c>
      <c r="P293" s="2">
        <v>110.7</v>
      </c>
      <c r="Q293" s="4">
        <v>0.55900000000000005</v>
      </c>
      <c r="R293" s="4">
        <v>0.51500000000000001</v>
      </c>
      <c r="S293" s="4">
        <v>0.53500000000000003</v>
      </c>
      <c r="T293" s="4">
        <v>0.56200000000000006</v>
      </c>
      <c r="U293" s="19">
        <f>Table2[[#This Row],[NET PF]]/Table2[[#This Row],[HOME GAMES]]</f>
        <v>-0.74100719424460426</v>
      </c>
      <c r="V293" s="28">
        <f>393/Table2[[#This Row],[AWAY GAMES]]</f>
        <v>2.6554054054054053</v>
      </c>
      <c r="W293" s="4">
        <v>0.71299999999999997</v>
      </c>
      <c r="X293" s="4">
        <v>0.69399999999999995</v>
      </c>
      <c r="Y293" s="2">
        <v>-103</v>
      </c>
      <c r="Z293" s="2">
        <v>113</v>
      </c>
      <c r="AA293" s="8">
        <f>Table2[[#This Row],[HOME MARGIN]]/Table2[[#This Row],[HOME GAMES]]</f>
        <v>5.1654676258992804</v>
      </c>
      <c r="AB293" s="8">
        <f>Table2[[#This Row],[AWAY MARGIN]]/Table2[[#This Row],[AWAY GAMES]]</f>
        <v>-9.6013513513513509</v>
      </c>
      <c r="AC293" s="8">
        <f>Table2[[#This Row],[HOME MARGIN/GAME]]-Table2[[#This Row],[AWAY MARGIN/GAME]]</f>
        <v>14.766818977250631</v>
      </c>
      <c r="AD293" s="23">
        <f>Table2[[#This Row],[HOME W/L%]]-Table2[[#This Row],[AWAY W/L%]]</f>
        <v>0.24800000000000005</v>
      </c>
      <c r="AE293" s="22"/>
      <c r="AF293"/>
    </row>
    <row r="294" spans="1:32" hidden="1" x14ac:dyDescent="0.2">
      <c r="A294" s="1">
        <v>349</v>
      </c>
      <c r="B294" s="1"/>
      <c r="C294" s="2" t="s">
        <v>207</v>
      </c>
      <c r="D294" s="2" t="str">
        <f>IF(COUNTIF($AG$3:$AG$20,C294)&gt;0,$AG$2,
 IF(COUNTIF($AH$3:$AH$20,C294)&gt;0,$AH$2,
 IF(COUNTIF($AI$3:$AI$20,C294)&gt;0,$AI$2,
 IF(COUNTIF($AJ$3:$AJ$20,C294)&gt;0,$AJ$2,
 IF(COUNTIF($AK$3:$AK$20,C294)&gt;0,$AK$2,
 IF(COUNTIF($AL$3:$AL$20,C294)&gt;0,$AL$2,
 IF(COUNTIF($AM$3:$AM$20,C294)&gt;0,$AM$2,"Not Found")))))))</f>
        <v>Not Found</v>
      </c>
      <c r="E294" s="2" t="s">
        <v>113</v>
      </c>
      <c r="F294" s="2" t="s">
        <v>11</v>
      </c>
      <c r="G294" s="2">
        <v>37</v>
      </c>
      <c r="H294" s="2">
        <v>99</v>
      </c>
      <c r="I294" s="2">
        <v>52</v>
      </c>
      <c r="J294" s="2">
        <v>-623</v>
      </c>
      <c r="K294" s="4">
        <v>0.59499999999999997</v>
      </c>
      <c r="L294" s="4">
        <v>0.17299999999999999</v>
      </c>
      <c r="M294" s="2">
        <v>104.8</v>
      </c>
      <c r="N294" s="2">
        <v>90.5</v>
      </c>
      <c r="O294" s="2">
        <v>100.8</v>
      </c>
      <c r="P294" s="2">
        <v>107.7</v>
      </c>
      <c r="Q294" s="4">
        <v>0.55900000000000005</v>
      </c>
      <c r="R294" s="4">
        <v>0.505</v>
      </c>
      <c r="S294" s="4">
        <v>0.51900000000000002</v>
      </c>
      <c r="T294" s="4">
        <v>0.55500000000000005</v>
      </c>
      <c r="U294" s="19">
        <f>Table2[[#This Row],[NET PF]]/Table2[[#This Row],[HOME GAMES]]</f>
        <v>-1.1891891891891893</v>
      </c>
      <c r="V294" s="28">
        <f>393/Table2[[#This Row],[AWAY GAMES]]</f>
        <v>7.5576923076923075</v>
      </c>
      <c r="W294" s="4">
        <v>0.70899999999999996</v>
      </c>
      <c r="X294" s="4">
        <v>0.73699999999999999</v>
      </c>
      <c r="Y294" s="2">
        <v>-44</v>
      </c>
      <c r="Z294" s="2">
        <v>72</v>
      </c>
      <c r="AA294" s="8">
        <f>Table2[[#This Row],[HOME MARGIN]]/Table2[[#This Row],[HOME GAMES]]</f>
        <v>2.6756756756756759</v>
      </c>
      <c r="AB294" s="8">
        <f>Table2[[#This Row],[AWAY MARGIN]]/Table2[[#This Row],[AWAY GAMES]]</f>
        <v>-11.98076923076923</v>
      </c>
      <c r="AC294" s="8">
        <f>Table2[[#This Row],[HOME MARGIN/GAME]]-Table2[[#This Row],[AWAY MARGIN/GAME]]</f>
        <v>14.656444906444905</v>
      </c>
      <c r="AD294" s="23">
        <f>Table2[[#This Row],[HOME W/L%]]-Table2[[#This Row],[AWAY W/L%]]</f>
        <v>0.42199999999999999</v>
      </c>
      <c r="AE294" s="22"/>
      <c r="AF294"/>
    </row>
    <row r="295" spans="1:32" hidden="1" x14ac:dyDescent="0.2">
      <c r="A295" s="1">
        <v>219</v>
      </c>
      <c r="B295" s="1"/>
      <c r="C295" s="2" t="s">
        <v>191</v>
      </c>
      <c r="D295" s="2" t="str">
        <f>IF(COUNTIF($AG$3:$AG$20,C295)&gt;0,$AG$2,
 IF(COUNTIF($AH$3:$AH$20,C295)&gt;0,$AH$2,
 IF(COUNTIF($AI$3:$AI$20,C295)&gt;0,$AI$2,
 IF(COUNTIF($AJ$3:$AJ$20,C295)&gt;0,$AJ$2,
 IF(COUNTIF($AK$3:$AK$20,C295)&gt;0,$AK$2,
 IF(COUNTIF($AL$3:$AL$20,C295)&gt;0,$AL$2,
 IF(COUNTIF($AM$3:$AM$20,C295)&gt;0,$AM$2,"Not Found")))))))</f>
        <v>Not Found</v>
      </c>
      <c r="E295" s="2" t="s">
        <v>10</v>
      </c>
      <c r="F295" s="2" t="s">
        <v>11</v>
      </c>
      <c r="G295" s="2">
        <v>138</v>
      </c>
      <c r="H295" s="2">
        <v>892</v>
      </c>
      <c r="I295" s="2">
        <v>150</v>
      </c>
      <c r="J295" s="2">
        <v>-582</v>
      </c>
      <c r="K295" s="4">
        <v>0.65200000000000002</v>
      </c>
      <c r="L295" s="4">
        <v>0.42</v>
      </c>
      <c r="M295" s="2">
        <v>104.3</v>
      </c>
      <c r="N295" s="2">
        <v>97.7</v>
      </c>
      <c r="O295" s="2">
        <v>95</v>
      </c>
      <c r="P295" s="2">
        <v>103.3</v>
      </c>
      <c r="Q295" s="4">
        <v>0.53800000000000003</v>
      </c>
      <c r="R295" s="4">
        <v>0.51100000000000001</v>
      </c>
      <c r="S295" s="4">
        <v>0.503</v>
      </c>
      <c r="T295" s="4">
        <v>0.54100000000000004</v>
      </c>
      <c r="U295" s="19">
        <f>Table2[[#This Row],[NET PF]]/Table2[[#This Row],[HOME GAMES]]</f>
        <v>-1.3695652173913044</v>
      </c>
      <c r="V295" s="28">
        <f>393/Table2[[#This Row],[AWAY GAMES]]</f>
        <v>2.62</v>
      </c>
      <c r="W295" s="4">
        <v>0.69499999999999995</v>
      </c>
      <c r="X295" s="4">
        <v>0.69199999999999995</v>
      </c>
      <c r="Y295" s="2">
        <v>-189</v>
      </c>
      <c r="Z295" s="2">
        <v>51</v>
      </c>
      <c r="AA295" s="8">
        <f>Table2[[#This Row],[HOME MARGIN]]/Table2[[#This Row],[HOME GAMES]]</f>
        <v>6.4637681159420293</v>
      </c>
      <c r="AB295" s="8">
        <f>Table2[[#This Row],[AWAY MARGIN]]/Table2[[#This Row],[AWAY GAMES]]</f>
        <v>-3.88</v>
      </c>
      <c r="AC295" s="8">
        <f>Table2[[#This Row],[HOME MARGIN/GAME]]-Table2[[#This Row],[AWAY MARGIN/GAME]]</f>
        <v>10.34376811594203</v>
      </c>
      <c r="AD295" s="23">
        <f>Table2[[#This Row],[HOME W/L%]]-Table2[[#This Row],[AWAY W/L%]]</f>
        <v>0.23200000000000004</v>
      </c>
      <c r="AE295" s="22"/>
      <c r="AF295"/>
    </row>
    <row r="296" spans="1:32" x14ac:dyDescent="0.2">
      <c r="A296" s="1">
        <v>117</v>
      </c>
      <c r="B296" s="1">
        <v>53</v>
      </c>
      <c r="C296" s="2" t="s">
        <v>155</v>
      </c>
      <c r="D296" s="2" t="str">
        <f>IF(COUNTIF($AG$3:$AG$20,C296)&gt;0,$AG$2,
 IF(COUNTIF($AH$3:$AH$20,C296)&gt;0,$AH$2,
 IF(COUNTIF($AI$3:$AI$20,C296)&gt;0,$AI$2,
 IF(COUNTIF($AJ$3:$AJ$20,C296)&gt;0,$AJ$2,
 IF(COUNTIF($AK$3:$AK$20,C296)&gt;0,$AK$2,
 IF(COUNTIF($AL$3:$AL$20,C296)&gt;0,$AL$2,
 IF(COUNTIF($AM$3:$AM$20,C296)&gt;0,$AM$2,"Not Found")))))))</f>
        <v>ACC</v>
      </c>
      <c r="E296" s="2" t="s">
        <v>10</v>
      </c>
      <c r="F296" s="2" t="s">
        <v>11</v>
      </c>
      <c r="G296" s="2">
        <v>173</v>
      </c>
      <c r="H296" s="2">
        <v>1400</v>
      </c>
      <c r="I296" s="2">
        <v>105</v>
      </c>
      <c r="J296" s="2">
        <v>-451</v>
      </c>
      <c r="K296" s="4">
        <v>0.73399999999999999</v>
      </c>
      <c r="L296" s="4">
        <v>0.35199999999999998</v>
      </c>
      <c r="M296" s="2">
        <v>107.9</v>
      </c>
      <c r="N296" s="2">
        <v>102.6</v>
      </c>
      <c r="O296" s="2">
        <v>96.3</v>
      </c>
      <c r="P296" s="2">
        <v>108.7</v>
      </c>
      <c r="Q296" s="4">
        <v>0.55500000000000005</v>
      </c>
      <c r="R296" s="4">
        <v>0.53400000000000003</v>
      </c>
      <c r="S296" s="4">
        <v>0.51200000000000001</v>
      </c>
      <c r="T296" s="4">
        <v>0.55200000000000005</v>
      </c>
      <c r="U296" s="19">
        <f>Table2[[#This Row],[NET PF]]/Table2[[#This Row],[HOME GAMES]]</f>
        <v>-3.2080924855491331</v>
      </c>
      <c r="V296" s="28">
        <f>393/Table2[[#This Row],[AWAY GAMES]]</f>
        <v>3.7428571428571429</v>
      </c>
      <c r="W296" s="4">
        <v>0.69799999999999995</v>
      </c>
      <c r="X296" s="4">
        <v>0.73199999999999998</v>
      </c>
      <c r="Y296" s="2">
        <v>-555</v>
      </c>
      <c r="Z296" s="2">
        <v>137</v>
      </c>
      <c r="AA296" s="8">
        <f>Table2[[#This Row],[HOME MARGIN]]/Table2[[#This Row],[HOME GAMES]]</f>
        <v>8.0924855491329488</v>
      </c>
      <c r="AB296" s="8">
        <f>Table2[[#This Row],[AWAY MARGIN]]/Table2[[#This Row],[AWAY GAMES]]</f>
        <v>-4.2952380952380951</v>
      </c>
      <c r="AC296" s="8">
        <f>Table2[[#This Row],[HOME MARGIN/GAME]]-Table2[[#This Row],[AWAY MARGIN/GAME]]</f>
        <v>12.387723644371043</v>
      </c>
      <c r="AD296" s="23">
        <f>Table2[[#This Row],[HOME W/L%]]-Table2[[#This Row],[AWAY W/L%]]</f>
        <v>0.38200000000000001</v>
      </c>
      <c r="AE296" s="22"/>
      <c r="AF296"/>
    </row>
    <row r="297" spans="1:32" hidden="1" x14ac:dyDescent="0.2">
      <c r="A297" s="1">
        <v>215</v>
      </c>
      <c r="B297" s="1"/>
      <c r="C297" s="2" t="s">
        <v>203</v>
      </c>
      <c r="D297" s="2" t="str">
        <f>IF(COUNTIF($AG$3:$AG$20,C297)&gt;0,$AG$2,
 IF(COUNTIF($AH$3:$AH$20,C297)&gt;0,$AH$2,
 IF(COUNTIF($AI$3:$AI$20,C297)&gt;0,$AI$2,
 IF(COUNTIF($AJ$3:$AJ$20,C297)&gt;0,$AJ$2,
 IF(COUNTIF($AK$3:$AK$20,C297)&gt;0,$AK$2,
 IF(COUNTIF($AL$3:$AL$20,C297)&gt;0,$AL$2,
 IF(COUNTIF($AM$3:$AM$20,C297)&gt;0,$AM$2,"Not Found")))))))</f>
        <v>Not Found</v>
      </c>
      <c r="E297" s="2" t="s">
        <v>73</v>
      </c>
      <c r="F297" s="2" t="s">
        <v>11</v>
      </c>
      <c r="G297" s="2">
        <v>65</v>
      </c>
      <c r="H297" s="2">
        <v>908</v>
      </c>
      <c r="I297" s="2">
        <v>71</v>
      </c>
      <c r="J297" s="2">
        <v>-619</v>
      </c>
      <c r="K297" s="4">
        <v>0.754</v>
      </c>
      <c r="L297" s="4">
        <v>0.29599999999999999</v>
      </c>
      <c r="M297" s="2">
        <v>107.5</v>
      </c>
      <c r="N297" s="2">
        <v>93</v>
      </c>
      <c r="O297" s="2">
        <v>87.8</v>
      </c>
      <c r="P297" s="2">
        <v>105.9</v>
      </c>
      <c r="Q297" s="4">
        <v>0.55500000000000005</v>
      </c>
      <c r="R297" s="4">
        <v>0.50800000000000001</v>
      </c>
      <c r="S297" s="4">
        <v>0.51200000000000001</v>
      </c>
      <c r="T297" s="4">
        <v>0.57399999999999995</v>
      </c>
      <c r="U297" s="19">
        <f>Table2[[#This Row],[NET PF]]/Table2[[#This Row],[HOME GAMES]]</f>
        <v>-1.5076923076923077</v>
      </c>
      <c r="V297" s="28">
        <f>393/Table2[[#This Row],[AWAY GAMES]]</f>
        <v>5.535211267605634</v>
      </c>
      <c r="W297" s="4">
        <v>0.70099999999999996</v>
      </c>
      <c r="X297" s="4">
        <v>0.72399999999999998</v>
      </c>
      <c r="Y297" s="2">
        <v>-98</v>
      </c>
      <c r="Z297" s="2">
        <v>142</v>
      </c>
      <c r="AA297" s="8">
        <f>Table2[[#This Row],[HOME MARGIN]]/Table2[[#This Row],[HOME GAMES]]</f>
        <v>13.969230769230769</v>
      </c>
      <c r="AB297" s="8">
        <f>Table2[[#This Row],[AWAY MARGIN]]/Table2[[#This Row],[AWAY GAMES]]</f>
        <v>-8.71830985915493</v>
      </c>
      <c r="AC297" s="8">
        <f>Table2[[#This Row],[HOME MARGIN/GAME]]-Table2[[#This Row],[AWAY MARGIN/GAME]]</f>
        <v>22.687540628385698</v>
      </c>
      <c r="AD297" s="23">
        <f>Table2[[#This Row],[HOME W/L%]]-Table2[[#This Row],[AWAY W/L%]]</f>
        <v>0.45800000000000002</v>
      </c>
      <c r="AE297" s="22"/>
      <c r="AF297"/>
    </row>
    <row r="298" spans="1:32" x14ac:dyDescent="0.2">
      <c r="A298" s="1">
        <v>113</v>
      </c>
      <c r="B298" s="1">
        <v>50</v>
      </c>
      <c r="C298" s="2" t="s">
        <v>352</v>
      </c>
      <c r="D298" s="2" t="str">
        <f>IF(COUNTIF($AG$3:$AG$20,C298)&gt;0,$AG$2,
 IF(COUNTIF($AH$3:$AH$20,C298)&gt;0,$AH$2,
 IF(COUNTIF($AI$3:$AI$20,C298)&gt;0,$AI$2,
 IF(COUNTIF($AJ$3:$AJ$20,C298)&gt;0,$AJ$2,
 IF(COUNTIF($AK$3:$AK$20,C298)&gt;0,$AK$2,
 IF(COUNTIF($AL$3:$AL$20,C298)&gt;0,$AL$2,
 IF(COUNTIF($AM$3:$AM$20,C298)&gt;0,$AM$2,"Not Found")))))))</f>
        <v>Big 12</v>
      </c>
      <c r="E298" s="2" t="s">
        <v>10</v>
      </c>
      <c r="F298" s="2" t="s">
        <v>11</v>
      </c>
      <c r="G298" s="2">
        <v>170</v>
      </c>
      <c r="H298" s="2">
        <v>1440</v>
      </c>
      <c r="I298" s="2">
        <v>103</v>
      </c>
      <c r="J298" s="2">
        <v>-794</v>
      </c>
      <c r="K298" s="4">
        <v>0.70599999999999996</v>
      </c>
      <c r="L298" s="4">
        <v>0.28199999999999997</v>
      </c>
      <c r="M298" s="2">
        <v>106.4</v>
      </c>
      <c r="N298" s="2">
        <v>97.5</v>
      </c>
      <c r="O298" s="2">
        <v>94.4</v>
      </c>
      <c r="P298" s="2">
        <v>108.5</v>
      </c>
      <c r="Q298" s="4">
        <v>0.54900000000000004</v>
      </c>
      <c r="R298" s="4">
        <v>0.51600000000000001</v>
      </c>
      <c r="S298" s="4">
        <v>0.51</v>
      </c>
      <c r="T298" s="4">
        <v>0.56499999999999995</v>
      </c>
      <c r="U298" s="19">
        <f>Table2[[#This Row],[NET PF]]/Table2[[#This Row],[HOME GAMES]]</f>
        <v>-2.5764705882352943</v>
      </c>
      <c r="V298" s="28">
        <f>393/Table2[[#This Row],[AWAY GAMES]]</f>
        <v>3.8155339805825244</v>
      </c>
      <c r="W298" s="4">
        <v>0.68700000000000006</v>
      </c>
      <c r="X298" s="4">
        <v>0.73499999999999999</v>
      </c>
      <c r="Y298" s="2">
        <v>-438</v>
      </c>
      <c r="Z298" s="2">
        <v>261</v>
      </c>
      <c r="AA298" s="8">
        <f>Table2[[#This Row],[HOME MARGIN]]/Table2[[#This Row],[HOME GAMES]]</f>
        <v>8.4705882352941178</v>
      </c>
      <c r="AB298" s="8">
        <f>Table2[[#This Row],[AWAY MARGIN]]/Table2[[#This Row],[AWAY GAMES]]</f>
        <v>-7.70873786407767</v>
      </c>
      <c r="AC298" s="8">
        <f>Table2[[#This Row],[HOME MARGIN/GAME]]-Table2[[#This Row],[AWAY MARGIN/GAME]]</f>
        <v>16.179326099371789</v>
      </c>
      <c r="AD298" s="23">
        <f>Table2[[#This Row],[HOME W/L%]]-Table2[[#This Row],[AWAY W/L%]]</f>
        <v>0.42399999999999999</v>
      </c>
      <c r="AE298" s="22"/>
      <c r="AF298"/>
    </row>
    <row r="299" spans="1:32" hidden="1" x14ac:dyDescent="0.2">
      <c r="A299" s="1">
        <v>298</v>
      </c>
      <c r="B299" s="1"/>
      <c r="C299" s="2" t="s">
        <v>137</v>
      </c>
      <c r="D299" s="2" t="str">
        <f>IF(COUNTIF($AG$3:$AG$20,C299)&gt;0,$AG$2,
 IF(COUNTIF($AH$3:$AH$20,C299)&gt;0,$AH$2,
 IF(COUNTIF($AI$3:$AI$20,C299)&gt;0,$AI$2,
 IF(COUNTIF($AJ$3:$AJ$20,C299)&gt;0,$AJ$2,
 IF(COUNTIF($AK$3:$AK$20,C299)&gt;0,$AK$2,
 IF(COUNTIF($AL$3:$AL$20,C299)&gt;0,$AL$2,
 IF(COUNTIF($AM$3:$AM$20,C299)&gt;0,$AM$2,"Not Found")))))))</f>
        <v>Not Found</v>
      </c>
      <c r="E299" s="2" t="s">
        <v>10</v>
      </c>
      <c r="F299" s="2" t="s">
        <v>11</v>
      </c>
      <c r="G299" s="2">
        <v>139</v>
      </c>
      <c r="H299" s="2">
        <v>503</v>
      </c>
      <c r="I299" s="2">
        <v>116</v>
      </c>
      <c r="J299" s="2">
        <v>-379</v>
      </c>
      <c r="K299" s="4">
        <v>0.64</v>
      </c>
      <c r="L299" s="4">
        <v>0.42199999999999999</v>
      </c>
      <c r="M299" s="2">
        <v>103.1</v>
      </c>
      <c r="N299" s="2">
        <v>97.5</v>
      </c>
      <c r="O299" s="2">
        <v>98</v>
      </c>
      <c r="P299" s="2">
        <v>102.2</v>
      </c>
      <c r="Q299" s="4">
        <v>0.53</v>
      </c>
      <c r="R299" s="4">
        <v>0.50600000000000001</v>
      </c>
      <c r="S299" s="4">
        <v>0.51400000000000001</v>
      </c>
      <c r="T299" s="4">
        <v>0.52500000000000002</v>
      </c>
      <c r="U299" s="19">
        <f>Table2[[#This Row],[NET PF]]/Table2[[#This Row],[HOME GAMES]]</f>
        <v>-0.61870503597122306</v>
      </c>
      <c r="V299" s="28">
        <f>393/Table2[[#This Row],[AWAY GAMES]]</f>
        <v>3.3879310344827585</v>
      </c>
      <c r="W299" s="4">
        <v>0.71199999999999997</v>
      </c>
      <c r="X299" s="4">
        <v>0.70899999999999996</v>
      </c>
      <c r="Y299" s="2">
        <v>-86</v>
      </c>
      <c r="Z299" s="2">
        <v>213</v>
      </c>
      <c r="AA299" s="8">
        <f>Table2[[#This Row],[HOME MARGIN]]/Table2[[#This Row],[HOME GAMES]]</f>
        <v>3.6187050359712232</v>
      </c>
      <c r="AB299" s="8">
        <f>Table2[[#This Row],[AWAY MARGIN]]/Table2[[#This Row],[AWAY GAMES]]</f>
        <v>-3.2672413793103448</v>
      </c>
      <c r="AC299" s="8">
        <f>Table2[[#This Row],[HOME MARGIN/GAME]]-Table2[[#This Row],[AWAY MARGIN/GAME]]</f>
        <v>6.8859464152815679</v>
      </c>
      <c r="AD299" s="23">
        <f>Table2[[#This Row],[HOME W/L%]]-Table2[[#This Row],[AWAY W/L%]]</f>
        <v>0.21800000000000003</v>
      </c>
      <c r="AE299" s="22"/>
      <c r="AF299"/>
    </row>
    <row r="300" spans="1:32" x14ac:dyDescent="0.2">
      <c r="A300" s="1">
        <v>12</v>
      </c>
      <c r="B300" s="1">
        <v>10</v>
      </c>
      <c r="C300" s="2" t="s">
        <v>46</v>
      </c>
      <c r="D300" s="2" t="str">
        <f>IF(COUNTIF($AG$3:$AG$20,C300)&gt;0,$AG$2,
 IF(COUNTIF($AH$3:$AH$20,C300)&gt;0,$AH$2,
 IF(COUNTIF($AI$3:$AI$20,C300)&gt;0,$AI$2,
 IF(COUNTIF($AJ$3:$AJ$20,C300)&gt;0,$AJ$2,
 IF(COUNTIF($AK$3:$AK$20,C300)&gt;0,$AK$2,
 IF(COUNTIF($AL$3:$AL$20,C300)&gt;0,$AL$2,
 IF(COUNTIF($AM$3:$AM$20,C300)&gt;0,$AM$2,"Not Found")))))))</f>
        <v>SEC</v>
      </c>
      <c r="E300" s="2" t="s">
        <v>10</v>
      </c>
      <c r="F300" s="2" t="s">
        <v>11</v>
      </c>
      <c r="G300" s="2">
        <v>163</v>
      </c>
      <c r="H300" s="2">
        <v>2435</v>
      </c>
      <c r="I300" s="2">
        <v>107</v>
      </c>
      <c r="J300" s="2">
        <v>52</v>
      </c>
      <c r="K300" s="4">
        <v>0.84699999999999998</v>
      </c>
      <c r="L300" s="4">
        <v>0.48599999999999999</v>
      </c>
      <c r="M300" s="2">
        <v>110.3</v>
      </c>
      <c r="N300" s="2">
        <v>102.9</v>
      </c>
      <c r="O300" s="2">
        <v>89</v>
      </c>
      <c r="P300" s="2">
        <v>102.2</v>
      </c>
      <c r="Q300" s="4">
        <v>0.55800000000000005</v>
      </c>
      <c r="R300" s="4">
        <v>0.53400000000000003</v>
      </c>
      <c r="S300" s="4">
        <v>0.47899999999999998</v>
      </c>
      <c r="T300" s="4">
        <v>0.52900000000000003</v>
      </c>
      <c r="U300" s="19">
        <f>Table2[[#This Row],[NET PF]]/Table2[[#This Row],[HOME GAMES]]</f>
        <v>-3.1349693251533743</v>
      </c>
      <c r="V300" s="28">
        <f>393/Table2[[#This Row],[AWAY GAMES]]</f>
        <v>3.6728971962616823</v>
      </c>
      <c r="W300" s="4">
        <v>0.69099999999999995</v>
      </c>
      <c r="X300" s="4">
        <v>0.71299999999999997</v>
      </c>
      <c r="Y300" s="2">
        <v>-511</v>
      </c>
      <c r="Z300" s="2">
        <v>141</v>
      </c>
      <c r="AA300" s="8">
        <f>Table2[[#This Row],[HOME MARGIN]]/Table2[[#This Row],[HOME GAMES]]</f>
        <v>14.938650306748466</v>
      </c>
      <c r="AB300" s="8">
        <f>Table2[[#This Row],[AWAY MARGIN]]/Table2[[#This Row],[AWAY GAMES]]</f>
        <v>0.48598130841121495</v>
      </c>
      <c r="AC300" s="8">
        <f>Table2[[#This Row],[HOME MARGIN/GAME]]-Table2[[#This Row],[AWAY MARGIN/GAME]]</f>
        <v>14.45266899833725</v>
      </c>
      <c r="AD300" s="23">
        <f>Table2[[#This Row],[HOME W/L%]]-Table2[[#This Row],[AWAY W/L%]]</f>
        <v>0.36099999999999999</v>
      </c>
      <c r="AE300" s="22"/>
      <c r="AF300"/>
    </row>
    <row r="301" spans="1:32" hidden="1" x14ac:dyDescent="0.2">
      <c r="A301" s="1">
        <v>173</v>
      </c>
      <c r="B301" s="1"/>
      <c r="C301" s="2" t="s">
        <v>342</v>
      </c>
      <c r="D301" s="2" t="str">
        <f>IF(COUNTIF($AG$3:$AG$20,C301)&gt;0,$AG$2,
 IF(COUNTIF($AH$3:$AH$20,C301)&gt;0,$AH$2,
 IF(COUNTIF($AI$3:$AI$20,C301)&gt;0,$AI$2,
 IF(COUNTIF($AJ$3:$AJ$20,C301)&gt;0,$AJ$2,
 IF(COUNTIF($AK$3:$AK$20,C301)&gt;0,$AK$2,
 IF(COUNTIF($AL$3:$AL$20,C301)&gt;0,$AL$2,
 IF(COUNTIF($AM$3:$AM$20,C301)&gt;0,$AM$2,"Not Found")))))))</f>
        <v>Not Found</v>
      </c>
      <c r="E301" s="2" t="s">
        <v>10</v>
      </c>
      <c r="F301" s="2" t="s">
        <v>11</v>
      </c>
      <c r="G301" s="2">
        <v>137</v>
      </c>
      <c r="H301" s="2">
        <v>1114</v>
      </c>
      <c r="I301" s="2">
        <v>144</v>
      </c>
      <c r="J301" s="2">
        <v>-836</v>
      </c>
      <c r="K301" s="4">
        <v>0.67200000000000004</v>
      </c>
      <c r="L301" s="4">
        <v>0.31900000000000001</v>
      </c>
      <c r="M301" s="2">
        <v>106.9</v>
      </c>
      <c r="N301" s="2">
        <v>95.3</v>
      </c>
      <c r="O301" s="2">
        <v>95.6</v>
      </c>
      <c r="P301" s="2">
        <v>103.5</v>
      </c>
      <c r="Q301" s="4">
        <v>0.57399999999999995</v>
      </c>
      <c r="R301" s="4">
        <v>0.51</v>
      </c>
      <c r="S301" s="4">
        <v>0.52100000000000002</v>
      </c>
      <c r="T301" s="4">
        <v>0.55000000000000004</v>
      </c>
      <c r="U301" s="19">
        <f>Table2[[#This Row],[NET PF]]/Table2[[#This Row],[HOME GAMES]]</f>
        <v>-0.48905109489051096</v>
      </c>
      <c r="V301" s="28">
        <f>393/Table2[[#This Row],[AWAY GAMES]]</f>
        <v>2.7291666666666665</v>
      </c>
      <c r="W301" s="4">
        <v>0.70099999999999996</v>
      </c>
      <c r="X301" s="4">
        <v>0.71499999999999997</v>
      </c>
      <c r="Y301" s="2">
        <v>-67</v>
      </c>
      <c r="Z301" s="2">
        <v>598</v>
      </c>
      <c r="AA301" s="8">
        <f>Table2[[#This Row],[HOME MARGIN]]/Table2[[#This Row],[HOME GAMES]]</f>
        <v>8.1313868613138691</v>
      </c>
      <c r="AB301" s="8">
        <f>Table2[[#This Row],[AWAY MARGIN]]/Table2[[#This Row],[AWAY GAMES]]</f>
        <v>-5.8055555555555554</v>
      </c>
      <c r="AC301" s="8">
        <f>Table2[[#This Row],[HOME MARGIN/GAME]]-Table2[[#This Row],[AWAY MARGIN/GAME]]</f>
        <v>13.936942416869424</v>
      </c>
      <c r="AD301" s="23">
        <f>Table2[[#This Row],[HOME W/L%]]-Table2[[#This Row],[AWAY W/L%]]</f>
        <v>0.35300000000000004</v>
      </c>
      <c r="AE301" s="22"/>
      <c r="AF301"/>
    </row>
    <row r="302" spans="1:32" hidden="1" x14ac:dyDescent="0.2">
      <c r="A302" s="1">
        <v>262</v>
      </c>
      <c r="B302" s="1"/>
      <c r="C302" s="2" t="s">
        <v>244</v>
      </c>
      <c r="D302" s="2" t="str">
        <f>IF(COUNTIF($AG$3:$AG$20,C302)&gt;0,$AG$2,
 IF(COUNTIF($AH$3:$AH$20,C302)&gt;0,$AH$2,
 IF(COUNTIF($AI$3:$AI$20,C302)&gt;0,$AI$2,
 IF(COUNTIF($AJ$3:$AJ$20,C302)&gt;0,$AJ$2,
 IF(COUNTIF($AK$3:$AK$20,C302)&gt;0,$AK$2,
 IF(COUNTIF($AL$3:$AL$20,C302)&gt;0,$AL$2,
 IF(COUNTIF($AM$3:$AM$20,C302)&gt;0,$AM$2,"Not Found")))))))</f>
        <v>Not Found</v>
      </c>
      <c r="E302" s="2" t="s">
        <v>10</v>
      </c>
      <c r="F302" s="2" t="s">
        <v>11</v>
      </c>
      <c r="G302" s="2">
        <v>143</v>
      </c>
      <c r="H302" s="2">
        <v>679</v>
      </c>
      <c r="I302" s="2">
        <v>153</v>
      </c>
      <c r="J302" s="2">
        <v>-1564</v>
      </c>
      <c r="K302" s="4">
        <v>0.57299999999999995</v>
      </c>
      <c r="L302" s="4">
        <v>0.23499999999999999</v>
      </c>
      <c r="M302" s="2">
        <v>105.1</v>
      </c>
      <c r="N302" s="2">
        <v>93.5</v>
      </c>
      <c r="O302" s="2">
        <v>98.5</v>
      </c>
      <c r="P302" s="2">
        <v>107.9</v>
      </c>
      <c r="Q302" s="4">
        <v>0.56000000000000005</v>
      </c>
      <c r="R302" s="4">
        <v>0.50700000000000001</v>
      </c>
      <c r="S302" s="4">
        <v>0.52500000000000002</v>
      </c>
      <c r="T302" s="4">
        <v>0.55900000000000005</v>
      </c>
      <c r="U302" s="19">
        <f>Table2[[#This Row],[NET PF]]/Table2[[#This Row],[HOME GAMES]]</f>
        <v>-1.7552447552447552</v>
      </c>
      <c r="V302" s="28">
        <f>393/Table2[[#This Row],[AWAY GAMES]]</f>
        <v>2.5686274509803924</v>
      </c>
      <c r="W302" s="4">
        <v>0.72299999999999998</v>
      </c>
      <c r="X302" s="4">
        <v>0.72</v>
      </c>
      <c r="Y302" s="2">
        <v>-251</v>
      </c>
      <c r="Z302" s="2">
        <v>170</v>
      </c>
      <c r="AA302" s="8">
        <f>Table2[[#This Row],[HOME MARGIN]]/Table2[[#This Row],[HOME GAMES]]</f>
        <v>4.7482517482517483</v>
      </c>
      <c r="AB302" s="8">
        <f>Table2[[#This Row],[AWAY MARGIN]]/Table2[[#This Row],[AWAY GAMES]]</f>
        <v>-10.222222222222221</v>
      </c>
      <c r="AC302" s="8">
        <f>Table2[[#This Row],[HOME MARGIN/GAME]]-Table2[[#This Row],[AWAY MARGIN/GAME]]</f>
        <v>14.97047397047397</v>
      </c>
      <c r="AD302" s="23">
        <f>Table2[[#This Row],[HOME W/L%]]-Table2[[#This Row],[AWAY W/L%]]</f>
        <v>0.33799999999999997</v>
      </c>
      <c r="AE302" s="22"/>
      <c r="AF302"/>
    </row>
    <row r="303" spans="1:32" x14ac:dyDescent="0.2">
      <c r="A303" s="1">
        <v>63</v>
      </c>
      <c r="B303" s="1">
        <v>38</v>
      </c>
      <c r="C303" s="2" t="s">
        <v>118</v>
      </c>
      <c r="D303" s="2" t="str">
        <f>IF(COUNTIF($AG$3:$AG$20,C303)&gt;0,$AG$2,
 IF(COUNTIF($AH$3:$AH$20,C303)&gt;0,$AH$2,
 IF(COUNTIF($AI$3:$AI$20,C303)&gt;0,$AI$2,
 IF(COUNTIF($AJ$3:$AJ$20,C303)&gt;0,$AJ$2,
 IF(COUNTIF($AK$3:$AK$20,C303)&gt;0,$AK$2,
 IF(COUNTIF($AL$3:$AL$20,C303)&gt;0,$AL$2,
 IF(COUNTIF($AM$3:$AM$20,C303)&gt;0,$AM$2,"Not Found")))))))</f>
        <v>SEC</v>
      </c>
      <c r="E303" s="2" t="s">
        <v>10</v>
      </c>
      <c r="F303" s="2" t="s">
        <v>11</v>
      </c>
      <c r="G303" s="2">
        <v>172</v>
      </c>
      <c r="H303" s="2">
        <v>1812</v>
      </c>
      <c r="I303" s="2">
        <v>101</v>
      </c>
      <c r="J303" s="2">
        <v>-336</v>
      </c>
      <c r="K303" s="4">
        <v>0.73299999999999998</v>
      </c>
      <c r="L303" s="4">
        <v>0.376</v>
      </c>
      <c r="M303" s="2">
        <v>108.4</v>
      </c>
      <c r="N303" s="2">
        <v>99</v>
      </c>
      <c r="O303" s="2">
        <v>93.2</v>
      </c>
      <c r="P303" s="2">
        <v>103.8</v>
      </c>
      <c r="Q303" s="4">
        <v>0.55900000000000005</v>
      </c>
      <c r="R303" s="4">
        <v>0.52600000000000002</v>
      </c>
      <c r="S303" s="4">
        <v>0.5</v>
      </c>
      <c r="T303" s="4">
        <v>0.53700000000000003</v>
      </c>
      <c r="U303" s="19">
        <f>Table2[[#This Row],[NET PF]]/Table2[[#This Row],[HOME GAMES]]</f>
        <v>-1.2267441860465116</v>
      </c>
      <c r="V303" s="28">
        <f>393/Table2[[#This Row],[AWAY GAMES]]</f>
        <v>3.891089108910891</v>
      </c>
      <c r="W303" s="4">
        <v>0.68700000000000006</v>
      </c>
      <c r="X303" s="4">
        <v>0.71599999999999997</v>
      </c>
      <c r="Y303" s="2">
        <v>-211</v>
      </c>
      <c r="Z303" s="2">
        <v>306</v>
      </c>
      <c r="AA303" s="8">
        <f>Table2[[#This Row],[HOME MARGIN]]/Table2[[#This Row],[HOME GAMES]]</f>
        <v>10.534883720930232</v>
      </c>
      <c r="AB303" s="8">
        <f>Table2[[#This Row],[AWAY MARGIN]]/Table2[[#This Row],[AWAY GAMES]]</f>
        <v>-3.3267326732673266</v>
      </c>
      <c r="AC303" s="8">
        <f>Table2[[#This Row],[HOME MARGIN/GAME]]-Table2[[#This Row],[AWAY MARGIN/GAME]]</f>
        <v>13.861616394197558</v>
      </c>
      <c r="AD303" s="23">
        <f>Table2[[#This Row],[HOME W/L%]]-Table2[[#This Row],[AWAY W/L%]]</f>
        <v>0.35699999999999998</v>
      </c>
      <c r="AE303" s="22"/>
      <c r="AF303"/>
    </row>
    <row r="304" spans="1:32" x14ac:dyDescent="0.2">
      <c r="A304" s="1">
        <v>114</v>
      </c>
      <c r="B304" s="1">
        <v>47</v>
      </c>
      <c r="C304" s="2" t="s">
        <v>84</v>
      </c>
      <c r="D304" s="2" t="str">
        <f>IF(COUNTIF($AG$3:$AG$20,C304)&gt;0,$AG$2,
 IF(COUNTIF($AH$3:$AH$20,C304)&gt;0,$AH$2,
 IF(COUNTIF($AI$3:$AI$20,C304)&gt;0,$AI$2,
 IF(COUNTIF($AJ$3:$AJ$20,C304)&gt;0,$AJ$2,
 IF(COUNTIF($AK$3:$AK$20,C304)&gt;0,$AK$2,
 IF(COUNTIF($AL$3:$AL$20,C304)&gt;0,$AL$2,
 IF(COUNTIF($AM$3:$AM$20,C304)&gt;0,$AM$2,"Not Found")))))))</f>
        <v>SEC</v>
      </c>
      <c r="E304" s="2" t="s">
        <v>10</v>
      </c>
      <c r="F304" s="2" t="s">
        <v>11</v>
      </c>
      <c r="G304" s="2">
        <v>158</v>
      </c>
      <c r="H304" s="2">
        <v>1424</v>
      </c>
      <c r="I304" s="2">
        <v>99</v>
      </c>
      <c r="J304" s="2">
        <v>-173</v>
      </c>
      <c r="K304" s="4">
        <v>0.747</v>
      </c>
      <c r="L304" s="4">
        <v>0.45500000000000002</v>
      </c>
      <c r="M304" s="2">
        <v>106.2</v>
      </c>
      <c r="N304" s="2">
        <v>100.5</v>
      </c>
      <c r="O304" s="2">
        <v>93.2</v>
      </c>
      <c r="P304" s="2">
        <v>103.1</v>
      </c>
      <c r="Q304" s="4">
        <v>0.53300000000000003</v>
      </c>
      <c r="R304" s="4">
        <v>0.51900000000000002</v>
      </c>
      <c r="S304" s="4">
        <v>0.497</v>
      </c>
      <c r="T304" s="4">
        <v>0.53900000000000003</v>
      </c>
      <c r="U304" s="19">
        <f>Table2[[#This Row],[NET PF]]/Table2[[#This Row],[HOME GAMES]]</f>
        <v>-3.5506329113924049</v>
      </c>
      <c r="V304" s="28">
        <f>393/Table2[[#This Row],[AWAY GAMES]]</f>
        <v>3.9696969696969697</v>
      </c>
      <c r="W304" s="4">
        <v>0.68300000000000005</v>
      </c>
      <c r="X304" s="4">
        <v>0.73399999999999999</v>
      </c>
      <c r="Y304" s="2">
        <v>-561</v>
      </c>
      <c r="Z304" s="2">
        <v>54</v>
      </c>
      <c r="AA304" s="8">
        <f>Table2[[#This Row],[HOME MARGIN]]/Table2[[#This Row],[HOME GAMES]]</f>
        <v>9.0126582278481013</v>
      </c>
      <c r="AB304" s="8">
        <f>Table2[[#This Row],[AWAY MARGIN]]/Table2[[#This Row],[AWAY GAMES]]</f>
        <v>-1.7474747474747474</v>
      </c>
      <c r="AC304" s="8">
        <f>Table2[[#This Row],[HOME MARGIN/GAME]]-Table2[[#This Row],[AWAY MARGIN/GAME]]</f>
        <v>10.760132975322849</v>
      </c>
      <c r="AD304" s="23">
        <f>Table2[[#This Row],[HOME W/L%]]-Table2[[#This Row],[AWAY W/L%]]</f>
        <v>0.29199999999999998</v>
      </c>
      <c r="AE304" s="22"/>
      <c r="AF304"/>
    </row>
    <row r="305" spans="1:32" hidden="1" x14ac:dyDescent="0.2">
      <c r="A305" s="1">
        <v>346</v>
      </c>
      <c r="B305" s="1"/>
      <c r="C305" s="2" t="s">
        <v>192</v>
      </c>
      <c r="D305" s="2" t="str">
        <f>IF(COUNTIF($AG$3:$AG$20,C305)&gt;0,$AG$2,
 IF(COUNTIF($AH$3:$AH$20,C305)&gt;0,$AH$2,
 IF(COUNTIF($AI$3:$AI$20,C305)&gt;0,$AI$2,
 IF(COUNTIF($AJ$3:$AJ$20,C305)&gt;0,$AJ$2,
 IF(COUNTIF($AK$3:$AK$20,C305)&gt;0,$AK$2,
 IF(COUNTIF($AL$3:$AL$20,C305)&gt;0,$AL$2,
 IF(COUNTIF($AM$3:$AM$20,C305)&gt;0,$AM$2,"Not Found")))))))</f>
        <v>Not Found</v>
      </c>
      <c r="E305" s="2" t="s">
        <v>113</v>
      </c>
      <c r="F305" s="2" t="s">
        <v>11</v>
      </c>
      <c r="G305" s="2">
        <v>39</v>
      </c>
      <c r="H305" s="2">
        <v>119</v>
      </c>
      <c r="I305" s="2">
        <v>52</v>
      </c>
      <c r="J305" s="2">
        <v>-584</v>
      </c>
      <c r="K305" s="4">
        <v>0.436</v>
      </c>
      <c r="L305" s="4">
        <v>0.23100000000000001</v>
      </c>
      <c r="M305" s="2">
        <v>105.7</v>
      </c>
      <c r="N305" s="2">
        <v>93.6</v>
      </c>
      <c r="O305" s="2">
        <v>101.4</v>
      </c>
      <c r="P305" s="2">
        <v>109.8</v>
      </c>
      <c r="Q305" s="4">
        <v>0.55700000000000005</v>
      </c>
      <c r="R305" s="4">
        <v>0.50900000000000001</v>
      </c>
      <c r="S305" s="4">
        <v>0.54200000000000004</v>
      </c>
      <c r="T305" s="4">
        <v>0.56899999999999995</v>
      </c>
      <c r="U305" s="19">
        <f>Table2[[#This Row],[NET PF]]/Table2[[#This Row],[HOME GAMES]]</f>
        <v>1.9487179487179487</v>
      </c>
      <c r="V305" s="28">
        <f>393/Table2[[#This Row],[AWAY GAMES]]</f>
        <v>7.5576923076923075</v>
      </c>
      <c r="W305" s="4">
        <v>0.7</v>
      </c>
      <c r="X305" s="4">
        <v>0.71899999999999997</v>
      </c>
      <c r="Y305" s="2">
        <v>76</v>
      </c>
      <c r="Z305" s="2">
        <v>135</v>
      </c>
      <c r="AA305" s="8">
        <f>Table2[[#This Row],[HOME MARGIN]]/Table2[[#This Row],[HOME GAMES]]</f>
        <v>3.0512820512820511</v>
      </c>
      <c r="AB305" s="8">
        <f>Table2[[#This Row],[AWAY MARGIN]]/Table2[[#This Row],[AWAY GAMES]]</f>
        <v>-11.23076923076923</v>
      </c>
      <c r="AC305" s="8">
        <f>Table2[[#This Row],[HOME MARGIN/GAME]]-Table2[[#This Row],[AWAY MARGIN/GAME]]</f>
        <v>14.282051282051281</v>
      </c>
      <c r="AD305" s="23">
        <f>Table2[[#This Row],[HOME W/L%]]-Table2[[#This Row],[AWAY W/L%]]</f>
        <v>0.20499999999999999</v>
      </c>
      <c r="AE305" s="22"/>
      <c r="AF305"/>
    </row>
    <row r="306" spans="1:32" hidden="1" x14ac:dyDescent="0.2">
      <c r="A306" s="1">
        <v>97</v>
      </c>
      <c r="B306" s="1"/>
      <c r="C306" s="2" t="s">
        <v>201</v>
      </c>
      <c r="D306" s="2" t="str">
        <f>IF(COUNTIF($AG$3:$AG$20,C306)&gt;0,$AG$2,
 IF(COUNTIF($AH$3:$AH$20,C306)&gt;0,$AH$2,
 IF(COUNTIF($AI$3:$AI$20,C306)&gt;0,$AI$2,
 IF(COUNTIF($AJ$3:$AJ$20,C306)&gt;0,$AJ$2,
 IF(COUNTIF($AK$3:$AK$20,C306)&gt;0,$AK$2,
 IF(COUNTIF($AL$3:$AL$20,C306)&gt;0,$AL$2,
 IF(COUNTIF($AM$3:$AM$20,C306)&gt;0,$AM$2,"Not Found")))))))</f>
        <v>Not Found</v>
      </c>
      <c r="E306" s="2" t="s">
        <v>10</v>
      </c>
      <c r="F306" s="2" t="s">
        <v>11</v>
      </c>
      <c r="G306" s="2">
        <v>145</v>
      </c>
      <c r="H306" s="2">
        <v>1545</v>
      </c>
      <c r="I306" s="2">
        <v>142</v>
      </c>
      <c r="J306" s="2">
        <v>-605</v>
      </c>
      <c r="K306" s="4">
        <v>0.73099999999999998</v>
      </c>
      <c r="L306" s="4">
        <v>0.39400000000000002</v>
      </c>
      <c r="M306" s="2">
        <v>107.2</v>
      </c>
      <c r="N306" s="2">
        <v>95.9</v>
      </c>
      <c r="O306" s="2">
        <v>92.3</v>
      </c>
      <c r="P306" s="2">
        <v>101.9</v>
      </c>
      <c r="Q306" s="4">
        <v>0.56100000000000005</v>
      </c>
      <c r="R306" s="4">
        <v>0.51700000000000002</v>
      </c>
      <c r="S306" s="4">
        <v>0.51200000000000001</v>
      </c>
      <c r="T306" s="4">
        <v>0.55000000000000004</v>
      </c>
      <c r="U306" s="19">
        <f>Table2[[#This Row],[NET PF]]/Table2[[#This Row],[HOME GAMES]]</f>
        <v>-0.89655172413793105</v>
      </c>
      <c r="V306" s="28">
        <f>393/Table2[[#This Row],[AWAY GAMES]]</f>
        <v>2.767605633802817</v>
      </c>
      <c r="W306" s="4">
        <v>0.71199999999999997</v>
      </c>
      <c r="X306" s="4">
        <v>0.71199999999999997</v>
      </c>
      <c r="Y306" s="2">
        <v>-130</v>
      </c>
      <c r="Z306" s="2">
        <v>354</v>
      </c>
      <c r="AA306" s="8">
        <f>Table2[[#This Row],[HOME MARGIN]]/Table2[[#This Row],[HOME GAMES]]</f>
        <v>10.655172413793103</v>
      </c>
      <c r="AB306" s="8">
        <f>Table2[[#This Row],[AWAY MARGIN]]/Table2[[#This Row],[AWAY GAMES]]</f>
        <v>-4.26056338028169</v>
      </c>
      <c r="AC306" s="8">
        <f>Table2[[#This Row],[HOME MARGIN/GAME]]-Table2[[#This Row],[AWAY MARGIN/GAME]]</f>
        <v>14.915735794074793</v>
      </c>
      <c r="AD306" s="23">
        <f>Table2[[#This Row],[HOME W/L%]]-Table2[[#This Row],[AWAY W/L%]]</f>
        <v>0.33699999999999997</v>
      </c>
      <c r="AE306" s="22"/>
      <c r="AF306"/>
    </row>
    <row r="307" spans="1:32" hidden="1" x14ac:dyDescent="0.2">
      <c r="A307" s="1">
        <v>155</v>
      </c>
      <c r="B307" s="1"/>
      <c r="C307" s="2" t="s">
        <v>282</v>
      </c>
      <c r="D307" s="2" t="str">
        <f>IF(COUNTIF($AG$3:$AG$20,C307)&gt;0,$AG$2,
 IF(COUNTIF($AH$3:$AH$20,C307)&gt;0,$AH$2,
 IF(COUNTIF($AI$3:$AI$20,C307)&gt;0,$AI$2,
 IF(COUNTIF($AJ$3:$AJ$20,C307)&gt;0,$AJ$2,
 IF(COUNTIF($AK$3:$AK$20,C307)&gt;0,$AK$2,
 IF(COUNTIF($AL$3:$AL$20,C307)&gt;0,$AL$2,
 IF(COUNTIF($AM$3:$AM$20,C307)&gt;0,$AM$2,"Not Found")))))))</f>
        <v>Not Found</v>
      </c>
      <c r="E307" s="2" t="s">
        <v>10</v>
      </c>
      <c r="F307" s="2" t="s">
        <v>11</v>
      </c>
      <c r="G307" s="2">
        <v>105</v>
      </c>
      <c r="H307" s="2">
        <v>1219</v>
      </c>
      <c r="I307" s="2">
        <v>182</v>
      </c>
      <c r="J307" s="2">
        <v>-1194</v>
      </c>
      <c r="K307" s="4">
        <v>0.78100000000000003</v>
      </c>
      <c r="L307" s="4">
        <v>0.36299999999999999</v>
      </c>
      <c r="M307" s="2">
        <v>107</v>
      </c>
      <c r="N307" s="2">
        <v>95.3</v>
      </c>
      <c r="O307" s="2">
        <v>91.4</v>
      </c>
      <c r="P307" s="2">
        <v>104.3</v>
      </c>
      <c r="Q307" s="4">
        <v>0.55100000000000005</v>
      </c>
      <c r="R307" s="4">
        <v>0.505</v>
      </c>
      <c r="S307" s="4">
        <v>0.48899999999999999</v>
      </c>
      <c r="T307" s="4">
        <v>0.54300000000000004</v>
      </c>
      <c r="U307" s="19">
        <f>Table2[[#This Row],[NET PF]]/Table2[[#This Row],[HOME GAMES]]</f>
        <v>-3.8571428571428572</v>
      </c>
      <c r="V307" s="28">
        <f>393/Table2[[#This Row],[AWAY GAMES]]</f>
        <v>2.1593406593406592</v>
      </c>
      <c r="W307" s="4">
        <v>0.69</v>
      </c>
      <c r="X307" s="4">
        <v>0.69499999999999995</v>
      </c>
      <c r="Y307" s="2">
        <v>-405</v>
      </c>
      <c r="Z307" s="2">
        <v>-110</v>
      </c>
      <c r="AA307" s="8">
        <f>Table2[[#This Row],[HOME MARGIN]]/Table2[[#This Row],[HOME GAMES]]</f>
        <v>11.609523809523809</v>
      </c>
      <c r="AB307" s="8">
        <f>Table2[[#This Row],[AWAY MARGIN]]/Table2[[#This Row],[AWAY GAMES]]</f>
        <v>-6.5604395604395602</v>
      </c>
      <c r="AC307" s="8">
        <f>Table2[[#This Row],[HOME MARGIN/GAME]]-Table2[[#This Row],[AWAY MARGIN/GAME]]</f>
        <v>18.169963369963369</v>
      </c>
      <c r="AD307" s="23">
        <f>Table2[[#This Row],[HOME W/L%]]-Table2[[#This Row],[AWAY W/L%]]</f>
        <v>0.41800000000000004</v>
      </c>
      <c r="AE307" s="22"/>
      <c r="AF307"/>
    </row>
    <row r="308" spans="1:32" hidden="1" x14ac:dyDescent="0.2">
      <c r="A308" s="1">
        <v>136</v>
      </c>
      <c r="B308" s="1"/>
      <c r="C308" s="2" t="s">
        <v>125</v>
      </c>
      <c r="D308" s="2" t="str">
        <f>IF(COUNTIF($AG$3:$AG$20,C308)&gt;0,$AG$2,
 IF(COUNTIF($AH$3:$AH$20,C308)&gt;0,$AH$2,
 IF(COUNTIF($AI$3:$AI$20,C308)&gt;0,$AI$2,
 IF(COUNTIF($AJ$3:$AJ$20,C308)&gt;0,$AJ$2,
 IF(COUNTIF($AK$3:$AK$20,C308)&gt;0,$AK$2,
 IF(COUNTIF($AL$3:$AL$20,C308)&gt;0,$AL$2,
 IF(COUNTIF($AM$3:$AM$20,C308)&gt;0,$AM$2,"Not Found")))))))</f>
        <v>Not Found</v>
      </c>
      <c r="E308" s="2" t="s">
        <v>10</v>
      </c>
      <c r="F308" s="2" t="s">
        <v>11</v>
      </c>
      <c r="G308" s="2">
        <v>138</v>
      </c>
      <c r="H308" s="2">
        <v>1332</v>
      </c>
      <c r="I308" s="2">
        <v>141</v>
      </c>
      <c r="J308" s="2">
        <v>-352</v>
      </c>
      <c r="K308" s="4">
        <v>0.69599999999999995</v>
      </c>
      <c r="L308" s="4">
        <v>0.44700000000000001</v>
      </c>
      <c r="M308" s="2">
        <v>106.9</v>
      </c>
      <c r="N308" s="2">
        <v>98.4</v>
      </c>
      <c r="O308" s="2">
        <v>92.7</v>
      </c>
      <c r="P308" s="2">
        <v>102.1</v>
      </c>
      <c r="Q308" s="4">
        <v>0.54700000000000004</v>
      </c>
      <c r="R308" s="4">
        <v>0.51800000000000002</v>
      </c>
      <c r="S308" s="4">
        <v>0.50600000000000001</v>
      </c>
      <c r="T308" s="4">
        <v>0.54700000000000004</v>
      </c>
      <c r="U308" s="19">
        <f>Table2[[#This Row],[NET PF]]/Table2[[#This Row],[HOME GAMES]]</f>
        <v>-1.355072463768116</v>
      </c>
      <c r="V308" s="28">
        <f>393/Table2[[#This Row],[AWAY GAMES]]</f>
        <v>2.7872340425531914</v>
      </c>
      <c r="W308" s="4">
        <v>0.71299999999999997</v>
      </c>
      <c r="X308" s="4">
        <v>0.72199999999999998</v>
      </c>
      <c r="Y308" s="2">
        <v>-187</v>
      </c>
      <c r="Z308" s="2">
        <v>171</v>
      </c>
      <c r="AA308" s="8">
        <f>Table2[[#This Row],[HOME MARGIN]]/Table2[[#This Row],[HOME GAMES]]</f>
        <v>9.6521739130434785</v>
      </c>
      <c r="AB308" s="8">
        <f>Table2[[#This Row],[AWAY MARGIN]]/Table2[[#This Row],[AWAY GAMES]]</f>
        <v>-2.4964539007092199</v>
      </c>
      <c r="AC308" s="8">
        <f>Table2[[#This Row],[HOME MARGIN/GAME]]-Table2[[#This Row],[AWAY MARGIN/GAME]]</f>
        <v>12.148627813752698</v>
      </c>
      <c r="AD308" s="23">
        <f>Table2[[#This Row],[HOME W/L%]]-Table2[[#This Row],[AWAY W/L%]]</f>
        <v>0.24899999999999994</v>
      </c>
      <c r="AE308" s="22"/>
      <c r="AF308"/>
    </row>
    <row r="309" spans="1:32" x14ac:dyDescent="0.2">
      <c r="A309" s="1">
        <v>9</v>
      </c>
      <c r="B309" s="1">
        <v>9</v>
      </c>
      <c r="C309" s="2" t="s">
        <v>75</v>
      </c>
      <c r="D309" s="2" t="str">
        <f>IF(COUNTIF($AG$3:$AG$20,C309)&gt;0,$AG$2,
 IF(COUNTIF($AH$3:$AH$20,C309)&gt;0,$AH$2,
 IF(COUNTIF($AI$3:$AI$20,C309)&gt;0,$AI$2,
 IF(COUNTIF($AJ$3:$AJ$20,C309)&gt;0,$AJ$2,
 IF(COUNTIF($AK$3:$AK$20,C309)&gt;0,$AK$2,
 IF(COUNTIF($AL$3:$AL$20,C309)&gt;0,$AL$2,
 IF(COUNTIF($AM$3:$AM$20,C309)&gt;0,$AM$2,"Not Found")))))))</f>
        <v>Big 12</v>
      </c>
      <c r="E309" s="2" t="s">
        <v>10</v>
      </c>
      <c r="F309" s="2" t="s">
        <v>11</v>
      </c>
      <c r="G309" s="2">
        <v>174</v>
      </c>
      <c r="H309" s="2">
        <v>2651</v>
      </c>
      <c r="I309" s="2">
        <v>98</v>
      </c>
      <c r="J309" s="2">
        <v>-94</v>
      </c>
      <c r="K309" s="4">
        <v>0.84499999999999997</v>
      </c>
      <c r="L309" s="4">
        <v>0.40799999999999997</v>
      </c>
      <c r="M309" s="2">
        <v>112.1</v>
      </c>
      <c r="N309" s="2">
        <v>101.3</v>
      </c>
      <c r="O309" s="2">
        <v>90.1</v>
      </c>
      <c r="P309" s="2">
        <v>102.7</v>
      </c>
      <c r="Q309" s="4">
        <v>0.58199999999999996</v>
      </c>
      <c r="R309" s="4">
        <v>0.53500000000000003</v>
      </c>
      <c r="S309" s="4">
        <v>0.495</v>
      </c>
      <c r="T309" s="4">
        <v>0.53500000000000003</v>
      </c>
      <c r="U309" s="19">
        <f>Table2[[#This Row],[NET PF]]/Table2[[#This Row],[HOME GAMES]]</f>
        <v>-4.2528735632183912</v>
      </c>
      <c r="V309" s="28">
        <f>393/Table2[[#This Row],[AWAY GAMES]]</f>
        <v>4.0102040816326534</v>
      </c>
      <c r="W309" s="4">
        <v>0.68300000000000005</v>
      </c>
      <c r="X309" s="4">
        <v>0.70499999999999996</v>
      </c>
      <c r="Y309" s="2">
        <v>-740</v>
      </c>
      <c r="Z309" s="2">
        <v>162</v>
      </c>
      <c r="AA309" s="8">
        <f>Table2[[#This Row],[HOME MARGIN]]/Table2[[#This Row],[HOME GAMES]]</f>
        <v>15.235632183908047</v>
      </c>
      <c r="AB309" s="8">
        <f>Table2[[#This Row],[AWAY MARGIN]]/Table2[[#This Row],[AWAY GAMES]]</f>
        <v>-0.95918367346938771</v>
      </c>
      <c r="AC309" s="8">
        <f>Table2[[#This Row],[HOME MARGIN/GAME]]-Table2[[#This Row],[AWAY MARGIN/GAME]]</f>
        <v>16.194815857377435</v>
      </c>
      <c r="AD309" s="23">
        <f>Table2[[#This Row],[HOME W/L%]]-Table2[[#This Row],[AWAY W/L%]]</f>
        <v>0.437</v>
      </c>
      <c r="AE309" s="22"/>
      <c r="AF309"/>
    </row>
    <row r="310" spans="1:32" hidden="1" x14ac:dyDescent="0.2">
      <c r="A310" s="1">
        <v>245</v>
      </c>
      <c r="B310" s="1"/>
      <c r="C310" s="2" t="s">
        <v>248</v>
      </c>
      <c r="D310" s="2" t="str">
        <f>IF(COUNTIF($AG$3:$AG$20,C310)&gt;0,$AG$2,
 IF(COUNTIF($AH$3:$AH$20,C310)&gt;0,$AH$2,
 IF(COUNTIF($AI$3:$AI$20,C310)&gt;0,$AI$2,
 IF(COUNTIF($AJ$3:$AJ$20,C310)&gt;0,$AJ$2,
 IF(COUNTIF($AK$3:$AK$20,C310)&gt;0,$AK$2,
 IF(COUNTIF($AL$3:$AL$20,C310)&gt;0,$AL$2,
 IF(COUNTIF($AM$3:$AM$20,C310)&gt;0,$AM$2,"Not Found")))))))</f>
        <v>Not Found</v>
      </c>
      <c r="E310" s="2" t="s">
        <v>10</v>
      </c>
      <c r="F310" s="2" t="s">
        <v>11</v>
      </c>
      <c r="G310" s="2">
        <v>147</v>
      </c>
      <c r="H310" s="2">
        <v>753</v>
      </c>
      <c r="I310" s="2">
        <v>136</v>
      </c>
      <c r="J310" s="2">
        <v>-1521</v>
      </c>
      <c r="K310" s="4">
        <v>0.57799999999999996</v>
      </c>
      <c r="L310" s="4">
        <v>0.21299999999999999</v>
      </c>
      <c r="M310" s="2">
        <v>102.1</v>
      </c>
      <c r="N310" s="2">
        <v>94.1</v>
      </c>
      <c r="O310" s="2">
        <v>95.4</v>
      </c>
      <c r="P310" s="2">
        <v>109.2</v>
      </c>
      <c r="Q310" s="4">
        <v>0.54400000000000004</v>
      </c>
      <c r="R310" s="4">
        <v>0.503</v>
      </c>
      <c r="S310" s="4">
        <v>0.51800000000000002</v>
      </c>
      <c r="T310" s="4">
        <v>0.57099999999999995</v>
      </c>
      <c r="U310" s="19">
        <f>Table2[[#This Row],[NET PF]]/Table2[[#This Row],[HOME GAMES]]</f>
        <v>-1.0340136054421769</v>
      </c>
      <c r="V310" s="28">
        <f>393/Table2[[#This Row],[AWAY GAMES]]</f>
        <v>2.8897058823529411</v>
      </c>
      <c r="W310" s="4">
        <v>0.70099999999999996</v>
      </c>
      <c r="X310" s="4">
        <v>0.70899999999999996</v>
      </c>
      <c r="Y310" s="2">
        <v>-152</v>
      </c>
      <c r="Z310" s="2">
        <v>284</v>
      </c>
      <c r="AA310" s="8">
        <f>Table2[[#This Row],[HOME MARGIN]]/Table2[[#This Row],[HOME GAMES]]</f>
        <v>5.1224489795918364</v>
      </c>
      <c r="AB310" s="8">
        <f>Table2[[#This Row],[AWAY MARGIN]]/Table2[[#This Row],[AWAY GAMES]]</f>
        <v>-11.183823529411764</v>
      </c>
      <c r="AC310" s="8">
        <f>Table2[[#This Row],[HOME MARGIN/GAME]]-Table2[[#This Row],[AWAY MARGIN/GAME]]</f>
        <v>16.306272509003602</v>
      </c>
      <c r="AD310" s="23">
        <f>Table2[[#This Row],[HOME W/L%]]-Table2[[#This Row],[AWAY W/L%]]</f>
        <v>0.36499999999999999</v>
      </c>
      <c r="AE310" s="22"/>
      <c r="AF310"/>
    </row>
    <row r="311" spans="1:32" hidden="1" x14ac:dyDescent="0.2">
      <c r="A311" s="1">
        <v>285</v>
      </c>
      <c r="B311" s="1"/>
      <c r="C311" s="2" t="s">
        <v>235</v>
      </c>
      <c r="D311" s="2" t="str">
        <f>IF(COUNTIF($AG$3:$AG$20,C311)&gt;0,$AG$2,
 IF(COUNTIF($AH$3:$AH$20,C311)&gt;0,$AH$2,
 IF(COUNTIF($AI$3:$AI$20,C311)&gt;0,$AI$2,
 IF(COUNTIF($AJ$3:$AJ$20,C311)&gt;0,$AJ$2,
 IF(COUNTIF($AK$3:$AK$20,C311)&gt;0,$AK$2,
 IF(COUNTIF($AL$3:$AL$20,C311)&gt;0,$AL$2,
 IF(COUNTIF($AM$3:$AM$20,C311)&gt;0,$AM$2,"Not Found")))))))</f>
        <v>Not Found</v>
      </c>
      <c r="E311" s="2" t="s">
        <v>10</v>
      </c>
      <c r="F311" s="2" t="s">
        <v>11</v>
      </c>
      <c r="G311" s="2">
        <v>148</v>
      </c>
      <c r="H311" s="2">
        <v>556</v>
      </c>
      <c r="I311" s="2">
        <v>140</v>
      </c>
      <c r="J311" s="2">
        <v>-1735</v>
      </c>
      <c r="K311" s="4">
        <v>0.45300000000000001</v>
      </c>
      <c r="L311" s="4">
        <v>0.2</v>
      </c>
      <c r="M311" s="2">
        <v>107.5</v>
      </c>
      <c r="N311" s="2">
        <v>97.7</v>
      </c>
      <c r="O311" s="2">
        <v>102.6</v>
      </c>
      <c r="P311" s="2">
        <v>113.9</v>
      </c>
      <c r="Q311" s="4">
        <v>0.55800000000000005</v>
      </c>
      <c r="R311" s="4">
        <v>0.52500000000000002</v>
      </c>
      <c r="S311" s="4">
        <v>0.54800000000000004</v>
      </c>
      <c r="T311" s="4">
        <v>0.58599999999999997</v>
      </c>
      <c r="U311" s="19">
        <f>Table2[[#This Row],[NET PF]]/Table2[[#This Row],[HOME GAMES]]</f>
        <v>-1.5540540540540539</v>
      </c>
      <c r="V311" s="28">
        <f>393/Table2[[#This Row],[AWAY GAMES]]</f>
        <v>2.8071428571428569</v>
      </c>
      <c r="W311" s="4">
        <v>0.71599999999999997</v>
      </c>
      <c r="X311" s="4">
        <v>0.72</v>
      </c>
      <c r="Y311" s="2">
        <v>-230</v>
      </c>
      <c r="Z311" s="2">
        <v>222</v>
      </c>
      <c r="AA311" s="8">
        <f>Table2[[#This Row],[HOME MARGIN]]/Table2[[#This Row],[HOME GAMES]]</f>
        <v>3.7567567567567566</v>
      </c>
      <c r="AB311" s="8">
        <f>Table2[[#This Row],[AWAY MARGIN]]/Table2[[#This Row],[AWAY GAMES]]</f>
        <v>-12.392857142857142</v>
      </c>
      <c r="AC311" s="8">
        <f>Table2[[#This Row],[HOME MARGIN/GAME]]-Table2[[#This Row],[AWAY MARGIN/GAME]]</f>
        <v>16.1496138996139</v>
      </c>
      <c r="AD311" s="23">
        <f>Table2[[#This Row],[HOME W/L%]]-Table2[[#This Row],[AWAY W/L%]]</f>
        <v>0.253</v>
      </c>
      <c r="AE311" s="22"/>
      <c r="AF311"/>
    </row>
    <row r="312" spans="1:32" hidden="1" x14ac:dyDescent="0.2">
      <c r="A312" s="1">
        <v>81</v>
      </c>
      <c r="B312" s="1"/>
      <c r="C312" s="2" t="s">
        <v>29</v>
      </c>
      <c r="D312" s="2" t="str">
        <f>IF(COUNTIF($AG$3:$AG$20,C312)&gt;0,$AG$2,
 IF(COUNTIF($AH$3:$AH$20,C312)&gt;0,$AH$2,
 IF(COUNTIF($AI$3:$AI$20,C312)&gt;0,$AI$2,
 IF(COUNTIF($AJ$3:$AJ$20,C312)&gt;0,$AJ$2,
 IF(COUNTIF($AK$3:$AK$20,C312)&gt;0,$AK$2,
 IF(COUNTIF($AL$3:$AL$20,C312)&gt;0,$AL$2,
 IF(COUNTIF($AM$3:$AM$20,C312)&gt;0,$AM$2,"Not Found")))))))</f>
        <v>Not Found</v>
      </c>
      <c r="E312" s="2" t="s">
        <v>10</v>
      </c>
      <c r="F312" s="2" t="s">
        <v>11</v>
      </c>
      <c r="G312" s="2">
        <v>146</v>
      </c>
      <c r="H312" s="2">
        <v>1692</v>
      </c>
      <c r="I312" s="2">
        <v>136</v>
      </c>
      <c r="J312" s="2">
        <v>224</v>
      </c>
      <c r="K312" s="4">
        <v>0.78100000000000003</v>
      </c>
      <c r="L312" s="4">
        <v>0.54400000000000004</v>
      </c>
      <c r="M312" s="2">
        <v>113.5</v>
      </c>
      <c r="N312" s="2">
        <v>109</v>
      </c>
      <c r="O312" s="2">
        <v>97.2</v>
      </c>
      <c r="P312" s="2">
        <v>106.7</v>
      </c>
      <c r="Q312" s="4">
        <v>0.58199999999999996</v>
      </c>
      <c r="R312" s="4">
        <v>0.56699999999999995</v>
      </c>
      <c r="S312" s="4">
        <v>0.50900000000000001</v>
      </c>
      <c r="T312" s="4">
        <v>0.54800000000000004</v>
      </c>
      <c r="U312" s="19">
        <f>Table2[[#This Row],[NET PF]]/Table2[[#This Row],[HOME GAMES]]</f>
        <v>-3.9315068493150687</v>
      </c>
      <c r="V312" s="28">
        <f>393/Table2[[#This Row],[AWAY GAMES]]</f>
        <v>2.8897058823529411</v>
      </c>
      <c r="W312" s="4">
        <v>0.7</v>
      </c>
      <c r="X312" s="4">
        <v>0.72</v>
      </c>
      <c r="Y312" s="2">
        <v>-574</v>
      </c>
      <c r="Z312" s="2">
        <v>-136</v>
      </c>
      <c r="AA312" s="8">
        <f>Table2[[#This Row],[HOME MARGIN]]/Table2[[#This Row],[HOME GAMES]]</f>
        <v>11.58904109589041</v>
      </c>
      <c r="AB312" s="8">
        <f>Table2[[#This Row],[AWAY MARGIN]]/Table2[[#This Row],[AWAY GAMES]]</f>
        <v>1.6470588235294117</v>
      </c>
      <c r="AC312" s="8">
        <f>Table2[[#This Row],[HOME MARGIN/GAME]]-Table2[[#This Row],[AWAY MARGIN/GAME]]</f>
        <v>9.941982272360999</v>
      </c>
      <c r="AD312" s="23">
        <f>Table2[[#This Row],[HOME W/L%]]-Table2[[#This Row],[AWAY W/L%]]</f>
        <v>0.23699999999999999</v>
      </c>
      <c r="AE312" s="22"/>
      <c r="AF312"/>
    </row>
    <row r="313" spans="1:32" hidden="1" x14ac:dyDescent="0.2">
      <c r="A313" s="1">
        <v>162</v>
      </c>
      <c r="B313" s="1"/>
      <c r="C313" s="2" t="s">
        <v>39</v>
      </c>
      <c r="D313" s="2" t="str">
        <f>IF(COUNTIF($AG$3:$AG$20,C313)&gt;0,$AG$2,
 IF(COUNTIF($AH$3:$AH$20,C313)&gt;0,$AH$2,
 IF(COUNTIF($AI$3:$AI$20,C313)&gt;0,$AI$2,
 IF(COUNTIF($AJ$3:$AJ$20,C313)&gt;0,$AJ$2,
 IF(COUNTIF($AK$3:$AK$20,C313)&gt;0,$AK$2,
 IF(COUNTIF($AL$3:$AL$20,C313)&gt;0,$AL$2,
 IF(COUNTIF($AM$3:$AM$20,C313)&gt;0,$AM$2,"Not Found")))))))</f>
        <v>Not Found</v>
      </c>
      <c r="E313" s="2" t="s">
        <v>10</v>
      </c>
      <c r="F313" s="2" t="s">
        <v>11</v>
      </c>
      <c r="G313" s="2">
        <v>132</v>
      </c>
      <c r="H313" s="2">
        <v>1200</v>
      </c>
      <c r="I313" s="2">
        <v>126</v>
      </c>
      <c r="J313" s="2">
        <v>120</v>
      </c>
      <c r="K313" s="4">
        <v>0.74199999999999999</v>
      </c>
      <c r="L313" s="4">
        <v>0.5</v>
      </c>
      <c r="M313" s="2">
        <v>109.5</v>
      </c>
      <c r="N313" s="2">
        <v>103.6</v>
      </c>
      <c r="O313" s="2">
        <v>96.2</v>
      </c>
      <c r="P313" s="2">
        <v>102.2</v>
      </c>
      <c r="Q313" s="4">
        <v>0.54200000000000004</v>
      </c>
      <c r="R313" s="4">
        <v>0.52300000000000002</v>
      </c>
      <c r="S313" s="4">
        <v>0.51300000000000001</v>
      </c>
      <c r="T313" s="4">
        <v>0.53800000000000003</v>
      </c>
      <c r="U313" s="19">
        <f>Table2[[#This Row],[NET PF]]/Table2[[#This Row],[HOME GAMES]]</f>
        <v>-0.68181818181818177</v>
      </c>
      <c r="V313" s="28">
        <f>393/Table2[[#This Row],[AWAY GAMES]]</f>
        <v>3.1190476190476191</v>
      </c>
      <c r="W313" s="4">
        <v>0.70899999999999996</v>
      </c>
      <c r="X313" s="4">
        <v>0.72799999999999998</v>
      </c>
      <c r="Y313" s="2">
        <v>-90</v>
      </c>
      <c r="Z313" s="2">
        <v>199</v>
      </c>
      <c r="AA313" s="8">
        <f>Table2[[#This Row],[HOME MARGIN]]/Table2[[#This Row],[HOME GAMES]]</f>
        <v>9.0909090909090917</v>
      </c>
      <c r="AB313" s="8">
        <f>Table2[[#This Row],[AWAY MARGIN]]/Table2[[#This Row],[AWAY GAMES]]</f>
        <v>0.95238095238095233</v>
      </c>
      <c r="AC313" s="8">
        <f>Table2[[#This Row],[HOME MARGIN/GAME]]-Table2[[#This Row],[AWAY MARGIN/GAME]]</f>
        <v>8.1385281385281392</v>
      </c>
      <c r="AD313" s="23">
        <f>Table2[[#This Row],[HOME W/L%]]-Table2[[#This Row],[AWAY W/L%]]</f>
        <v>0.24199999999999999</v>
      </c>
      <c r="AE313" s="22"/>
      <c r="AF313"/>
    </row>
    <row r="314" spans="1:32" hidden="1" x14ac:dyDescent="0.2">
      <c r="A314" s="1">
        <v>149</v>
      </c>
      <c r="B314" s="1"/>
      <c r="C314" s="2" t="s">
        <v>375</v>
      </c>
      <c r="D314" s="2" t="str">
        <f>IF(COUNTIF($AG$3:$AG$20,C314)&gt;0,$AG$2,
 IF(COUNTIF($AH$3:$AH$20,C314)&gt;0,$AH$2,
 IF(COUNTIF($AI$3:$AI$20,C314)&gt;0,$AI$2,
 IF(COUNTIF($AJ$3:$AJ$20,C314)&gt;0,$AJ$2,
 IF(COUNTIF($AK$3:$AK$20,C314)&gt;0,$AK$2,
 IF(COUNTIF($AL$3:$AL$20,C314)&gt;0,$AL$2,
 IF(COUNTIF($AM$3:$AM$20,C314)&gt;0,$AM$2,"Not Found")))))))</f>
        <v>Not Found</v>
      </c>
      <c r="E314" s="2" t="s">
        <v>10</v>
      </c>
      <c r="F314" s="2" t="s">
        <v>11</v>
      </c>
      <c r="G314" s="2">
        <v>143</v>
      </c>
      <c r="H314" s="2">
        <v>1250</v>
      </c>
      <c r="I314" s="2">
        <v>144</v>
      </c>
      <c r="J314" s="2">
        <v>-703</v>
      </c>
      <c r="K314" s="4">
        <v>0.64300000000000002</v>
      </c>
      <c r="L314" s="4">
        <v>0.35399999999999998</v>
      </c>
      <c r="M314" s="2">
        <v>107.2</v>
      </c>
      <c r="N314" s="2">
        <v>96.1</v>
      </c>
      <c r="O314" s="2">
        <v>95.1</v>
      </c>
      <c r="P314" s="2">
        <v>103</v>
      </c>
      <c r="Q314" s="4">
        <v>0.55300000000000005</v>
      </c>
      <c r="R314" s="4">
        <v>0.51</v>
      </c>
      <c r="S314" s="4">
        <v>0.51200000000000001</v>
      </c>
      <c r="T314" s="4">
        <v>0.54400000000000004</v>
      </c>
      <c r="U314" s="19">
        <f>Table2[[#This Row],[NET PF]]/Table2[[#This Row],[HOME GAMES]]</f>
        <v>-1.2867132867132867</v>
      </c>
      <c r="V314" s="28">
        <f>393/Table2[[#This Row],[AWAY GAMES]]</f>
        <v>2.7291666666666665</v>
      </c>
      <c r="W314" s="4">
        <v>0.70199999999999996</v>
      </c>
      <c r="X314" s="4">
        <v>0.70699999999999996</v>
      </c>
      <c r="Y314" s="2">
        <v>-184</v>
      </c>
      <c r="Z314" s="2">
        <v>155</v>
      </c>
      <c r="AA314" s="8">
        <f>Table2[[#This Row],[HOME MARGIN]]/Table2[[#This Row],[HOME GAMES]]</f>
        <v>8.7412587412587417</v>
      </c>
      <c r="AB314" s="8">
        <f>Table2[[#This Row],[AWAY MARGIN]]/Table2[[#This Row],[AWAY GAMES]]</f>
        <v>-4.8819444444444446</v>
      </c>
      <c r="AC314" s="8">
        <f>Table2[[#This Row],[HOME MARGIN/GAME]]-Table2[[#This Row],[AWAY MARGIN/GAME]]</f>
        <v>13.623203185703186</v>
      </c>
      <c r="AD314" s="23">
        <f>Table2[[#This Row],[HOME W/L%]]-Table2[[#This Row],[AWAY W/L%]]</f>
        <v>0.28900000000000003</v>
      </c>
      <c r="AE314" s="22"/>
      <c r="AF314"/>
    </row>
    <row r="315" spans="1:32" hidden="1" x14ac:dyDescent="0.2">
      <c r="A315" s="1">
        <v>301</v>
      </c>
      <c r="B315" s="1"/>
      <c r="C315" s="2" t="s">
        <v>360</v>
      </c>
      <c r="D315" s="2" t="str">
        <f>IF(COUNTIF($AG$3:$AG$20,C315)&gt;0,$AG$2,
 IF(COUNTIF($AH$3:$AH$20,C315)&gt;0,$AH$2,
 IF(COUNTIF($AI$3:$AI$20,C315)&gt;0,$AI$2,
 IF(COUNTIF($AJ$3:$AJ$20,C315)&gt;0,$AJ$2,
 IF(COUNTIF($AK$3:$AK$20,C315)&gt;0,$AK$2,
 IF(COUNTIF($AL$3:$AL$20,C315)&gt;0,$AL$2,
 IF(COUNTIF($AM$3:$AM$20,C315)&gt;0,$AM$2,"Not Found")))))))</f>
        <v>Not Found</v>
      </c>
      <c r="E315" s="2" t="s">
        <v>10</v>
      </c>
      <c r="F315" s="2" t="s">
        <v>11</v>
      </c>
      <c r="G315" s="2">
        <v>149</v>
      </c>
      <c r="H315" s="2">
        <v>472</v>
      </c>
      <c r="I315" s="2">
        <v>105</v>
      </c>
      <c r="J315" s="2">
        <v>-752</v>
      </c>
      <c r="K315" s="4">
        <v>0.54400000000000004</v>
      </c>
      <c r="L315" s="4">
        <v>0.25700000000000001</v>
      </c>
      <c r="M315" s="2">
        <v>103.6</v>
      </c>
      <c r="N315" s="2">
        <v>95.8</v>
      </c>
      <c r="O315" s="2">
        <v>99.2</v>
      </c>
      <c r="P315" s="2">
        <v>105.8</v>
      </c>
      <c r="Q315" s="4">
        <v>0.55200000000000005</v>
      </c>
      <c r="R315" s="4">
        <v>0.51500000000000001</v>
      </c>
      <c r="S315" s="4">
        <v>0.52400000000000002</v>
      </c>
      <c r="T315" s="4">
        <v>0.54800000000000004</v>
      </c>
      <c r="U315" s="19">
        <f>Table2[[#This Row],[NET PF]]/Table2[[#This Row],[HOME GAMES]]</f>
        <v>-1.6107382550335569</v>
      </c>
      <c r="V315" s="28">
        <f>393/Table2[[#This Row],[AWAY GAMES]]</f>
        <v>3.7428571428571429</v>
      </c>
      <c r="W315" s="4">
        <v>0.70099999999999996</v>
      </c>
      <c r="X315" s="4">
        <v>0.7</v>
      </c>
      <c r="Y315" s="2">
        <v>-240</v>
      </c>
      <c r="Z315" s="2">
        <v>97</v>
      </c>
      <c r="AA315" s="8">
        <f>Table2[[#This Row],[HOME MARGIN]]/Table2[[#This Row],[HOME GAMES]]</f>
        <v>3.1677852348993287</v>
      </c>
      <c r="AB315" s="8">
        <f>Table2[[#This Row],[AWAY MARGIN]]/Table2[[#This Row],[AWAY GAMES]]</f>
        <v>-7.1619047619047622</v>
      </c>
      <c r="AC315" s="8">
        <f>Table2[[#This Row],[HOME MARGIN/GAME]]-Table2[[#This Row],[AWAY MARGIN/GAME]]</f>
        <v>10.329689996804092</v>
      </c>
      <c r="AD315" s="23">
        <f>Table2[[#This Row],[HOME W/L%]]-Table2[[#This Row],[AWAY W/L%]]</f>
        <v>0.28700000000000003</v>
      </c>
      <c r="AE315" s="22"/>
      <c r="AF315"/>
    </row>
    <row r="316" spans="1:32" hidden="1" x14ac:dyDescent="0.2">
      <c r="A316" s="1">
        <v>203</v>
      </c>
      <c r="B316" s="1"/>
      <c r="C316" s="2" t="s">
        <v>327</v>
      </c>
      <c r="D316" s="2" t="str">
        <f>IF(COUNTIF($AG$3:$AG$20,C316)&gt;0,$AG$2,
 IF(COUNTIF($AH$3:$AH$20,C316)&gt;0,$AH$2,
 IF(COUNTIF($AI$3:$AI$20,C316)&gt;0,$AI$2,
 IF(COUNTIF($AJ$3:$AJ$20,C316)&gt;0,$AJ$2,
 IF(COUNTIF($AK$3:$AK$20,C316)&gt;0,$AK$2,
 IF(COUNTIF($AL$3:$AL$20,C316)&gt;0,$AL$2,
 IF(COUNTIF($AM$3:$AM$20,C316)&gt;0,$AM$2,"Not Found")))))))</f>
        <v>Not Found</v>
      </c>
      <c r="E316" s="2" t="s">
        <v>10</v>
      </c>
      <c r="F316" s="2" t="s">
        <v>11</v>
      </c>
      <c r="G316" s="2">
        <v>156</v>
      </c>
      <c r="H316" s="2">
        <v>953</v>
      </c>
      <c r="I316" s="2">
        <v>111</v>
      </c>
      <c r="J316" s="2">
        <v>-908</v>
      </c>
      <c r="K316" s="4">
        <v>0.67300000000000004</v>
      </c>
      <c r="L316" s="4">
        <v>0.28799999999999998</v>
      </c>
      <c r="M316" s="2">
        <v>104.9</v>
      </c>
      <c r="N316" s="2">
        <v>94.1</v>
      </c>
      <c r="O316" s="2">
        <v>96.2</v>
      </c>
      <c r="P316" s="2">
        <v>105.8</v>
      </c>
      <c r="Q316" s="4">
        <v>0.55800000000000005</v>
      </c>
      <c r="R316" s="4">
        <v>0.50800000000000001</v>
      </c>
      <c r="S316" s="4">
        <v>0.51</v>
      </c>
      <c r="T316" s="4">
        <v>0.54500000000000004</v>
      </c>
      <c r="U316" s="19">
        <f>Table2[[#This Row],[NET PF]]/Table2[[#This Row],[HOME GAMES]]</f>
        <v>-3.4230769230769229</v>
      </c>
      <c r="V316" s="28">
        <f>393/Table2[[#This Row],[AWAY GAMES]]</f>
        <v>3.5405405405405403</v>
      </c>
      <c r="W316" s="4">
        <v>0.69199999999999995</v>
      </c>
      <c r="X316" s="4">
        <v>0.70599999999999996</v>
      </c>
      <c r="Y316" s="2">
        <v>-534</v>
      </c>
      <c r="Z316" s="2">
        <v>-67</v>
      </c>
      <c r="AA316" s="8">
        <f>Table2[[#This Row],[HOME MARGIN]]/Table2[[#This Row],[HOME GAMES]]</f>
        <v>6.1089743589743586</v>
      </c>
      <c r="AB316" s="8">
        <f>Table2[[#This Row],[AWAY MARGIN]]/Table2[[#This Row],[AWAY GAMES]]</f>
        <v>-8.1801801801801801</v>
      </c>
      <c r="AC316" s="8">
        <f>Table2[[#This Row],[HOME MARGIN/GAME]]-Table2[[#This Row],[AWAY MARGIN/GAME]]</f>
        <v>14.289154539154538</v>
      </c>
      <c r="AD316" s="23">
        <f>Table2[[#This Row],[HOME W/L%]]-Table2[[#This Row],[AWAY W/L%]]</f>
        <v>0.38500000000000006</v>
      </c>
      <c r="AE316" s="22"/>
      <c r="AF316"/>
    </row>
    <row r="317" spans="1:32" hidden="1" x14ac:dyDescent="0.2">
      <c r="A317" s="1">
        <v>22</v>
      </c>
      <c r="B317" s="1"/>
      <c r="C317" s="2" t="s">
        <v>52</v>
      </c>
      <c r="D317" s="2" t="str">
        <f>IF(COUNTIF($AG$3:$AG$20,C317)&gt;0,$AG$2,
 IF(COUNTIF($AH$3:$AH$20,C317)&gt;0,$AH$2,
 IF(COUNTIF($AI$3:$AI$20,C317)&gt;0,$AI$2,
 IF(COUNTIF($AJ$3:$AJ$20,C317)&gt;0,$AJ$2,
 IF(COUNTIF($AK$3:$AK$20,C317)&gt;0,$AK$2,
 IF(COUNTIF($AL$3:$AL$20,C317)&gt;0,$AL$2,
 IF(COUNTIF($AM$3:$AM$20,C317)&gt;0,$AM$2,"Not Found")))))))</f>
        <v>Not Found</v>
      </c>
      <c r="E317" s="2" t="s">
        <v>10</v>
      </c>
      <c r="F317" s="2" t="s">
        <v>11</v>
      </c>
      <c r="G317" s="2">
        <v>169</v>
      </c>
      <c r="H317" s="2">
        <v>2221</v>
      </c>
      <c r="I317" s="2">
        <v>113</v>
      </c>
      <c r="J317" s="2">
        <v>16</v>
      </c>
      <c r="K317" s="4">
        <v>0.79900000000000004</v>
      </c>
      <c r="L317" s="4">
        <v>0.54</v>
      </c>
      <c r="M317" s="2">
        <v>111.2</v>
      </c>
      <c r="N317" s="2">
        <v>103.1</v>
      </c>
      <c r="O317" s="2">
        <v>92.7</v>
      </c>
      <c r="P317" s="2">
        <v>102.8</v>
      </c>
      <c r="Q317" s="4">
        <v>0.56399999999999995</v>
      </c>
      <c r="R317" s="4">
        <v>0.53500000000000003</v>
      </c>
      <c r="S317" s="4">
        <v>0.495</v>
      </c>
      <c r="T317" s="4">
        <v>0.54300000000000004</v>
      </c>
      <c r="U317" s="19">
        <f>Table2[[#This Row],[NET PF]]/Table2[[#This Row],[HOME GAMES]]</f>
        <v>-2.4615384615384617</v>
      </c>
      <c r="V317" s="28">
        <f>393/Table2[[#This Row],[AWAY GAMES]]</f>
        <v>3.4778761061946901</v>
      </c>
      <c r="W317" s="4">
        <v>0.70499999999999996</v>
      </c>
      <c r="X317" s="4">
        <v>0.70799999999999996</v>
      </c>
      <c r="Y317" s="2">
        <v>-416</v>
      </c>
      <c r="Z317" s="2">
        <v>114</v>
      </c>
      <c r="AA317" s="8">
        <f>Table2[[#This Row],[HOME MARGIN]]/Table2[[#This Row],[HOME GAMES]]</f>
        <v>13.142011834319527</v>
      </c>
      <c r="AB317" s="8">
        <f>Table2[[#This Row],[AWAY MARGIN]]/Table2[[#This Row],[AWAY GAMES]]</f>
        <v>0.1415929203539823</v>
      </c>
      <c r="AC317" s="8">
        <f>Table2[[#This Row],[HOME MARGIN/GAME]]-Table2[[#This Row],[AWAY MARGIN/GAME]]</f>
        <v>13.000418913965545</v>
      </c>
      <c r="AD317" s="23">
        <f>Table2[[#This Row],[HOME W/L%]]-Table2[[#This Row],[AWAY W/L%]]</f>
        <v>0.25900000000000001</v>
      </c>
      <c r="AE317" s="22"/>
      <c r="AF317"/>
    </row>
    <row r="318" spans="1:32" hidden="1" x14ac:dyDescent="0.2">
      <c r="A318" s="1">
        <v>241</v>
      </c>
      <c r="B318" s="1"/>
      <c r="C318" s="2" t="s">
        <v>143</v>
      </c>
      <c r="D318" s="2" t="str">
        <f>IF(COUNTIF($AG$3:$AG$20,C318)&gt;0,$AG$2,
 IF(COUNTIF($AH$3:$AH$20,C318)&gt;0,$AH$2,
 IF(COUNTIF($AI$3:$AI$20,C318)&gt;0,$AI$2,
 IF(COUNTIF($AJ$3:$AJ$20,C318)&gt;0,$AJ$2,
 IF(COUNTIF($AK$3:$AK$20,C318)&gt;0,$AK$2,
 IF(COUNTIF($AL$3:$AL$20,C318)&gt;0,$AL$2,
 IF(COUNTIF($AM$3:$AM$20,C318)&gt;0,$AM$2,"Not Found")))))))</f>
        <v>Not Found</v>
      </c>
      <c r="E318" s="2" t="s">
        <v>10</v>
      </c>
      <c r="F318" s="2" t="s">
        <v>11</v>
      </c>
      <c r="G318" s="2">
        <v>126</v>
      </c>
      <c r="H318" s="2">
        <v>758</v>
      </c>
      <c r="I318" s="2">
        <v>137</v>
      </c>
      <c r="J318" s="2">
        <v>-404</v>
      </c>
      <c r="K318" s="4">
        <v>0.65900000000000003</v>
      </c>
      <c r="L318" s="4">
        <v>0.40100000000000002</v>
      </c>
      <c r="M318" s="2">
        <v>103.2</v>
      </c>
      <c r="N318" s="2">
        <v>97.2</v>
      </c>
      <c r="O318" s="2">
        <v>94.7</v>
      </c>
      <c r="P318" s="2">
        <v>101.4</v>
      </c>
      <c r="Q318" s="4">
        <v>0.55500000000000005</v>
      </c>
      <c r="R318" s="4">
        <v>0.53</v>
      </c>
      <c r="S318" s="4">
        <v>0.51700000000000002</v>
      </c>
      <c r="T318" s="4">
        <v>0.55000000000000004</v>
      </c>
      <c r="U318" s="19">
        <f>Table2[[#This Row],[NET PF]]/Table2[[#This Row],[HOME GAMES]]</f>
        <v>-1.7936507936507937</v>
      </c>
      <c r="V318" s="28">
        <f>393/Table2[[#This Row],[AWAY GAMES]]</f>
        <v>2.8686131386861313</v>
      </c>
      <c r="W318" s="4">
        <v>0.71899999999999997</v>
      </c>
      <c r="X318" s="4">
        <v>0.71099999999999997</v>
      </c>
      <c r="Y318" s="2">
        <v>-226</v>
      </c>
      <c r="Z318" s="2">
        <v>99</v>
      </c>
      <c r="AA318" s="8">
        <f>Table2[[#This Row],[HOME MARGIN]]/Table2[[#This Row],[HOME GAMES]]</f>
        <v>6.0158730158730158</v>
      </c>
      <c r="AB318" s="8">
        <f>Table2[[#This Row],[AWAY MARGIN]]/Table2[[#This Row],[AWAY GAMES]]</f>
        <v>-2.948905109489051</v>
      </c>
      <c r="AC318" s="8">
        <f>Table2[[#This Row],[HOME MARGIN/GAME]]-Table2[[#This Row],[AWAY MARGIN/GAME]]</f>
        <v>8.9647781253620664</v>
      </c>
      <c r="AD318" s="23">
        <f>Table2[[#This Row],[HOME W/L%]]-Table2[[#This Row],[AWAY W/L%]]</f>
        <v>0.25800000000000001</v>
      </c>
      <c r="AE318" s="22"/>
      <c r="AF318"/>
    </row>
    <row r="319" spans="1:32" hidden="1" x14ac:dyDescent="0.2">
      <c r="A319" s="1">
        <v>50</v>
      </c>
      <c r="B319" s="1"/>
      <c r="C319" s="2" t="s">
        <v>22</v>
      </c>
      <c r="D319" s="2" t="str">
        <f>IF(COUNTIF($AG$3:$AG$20,C319)&gt;0,$AG$2,
 IF(COUNTIF($AH$3:$AH$20,C319)&gt;0,$AH$2,
 IF(COUNTIF($AI$3:$AI$20,C319)&gt;0,$AI$2,
 IF(COUNTIF($AJ$3:$AJ$20,C319)&gt;0,$AJ$2,
 IF(COUNTIF($AK$3:$AK$20,C319)&gt;0,$AK$2,
 IF(COUNTIF($AL$3:$AL$20,C319)&gt;0,$AL$2,
 IF(COUNTIF($AM$3:$AM$20,C319)&gt;0,$AM$2,"Not Found")))))))</f>
        <v>Not Found</v>
      </c>
      <c r="E319" s="2" t="s">
        <v>10</v>
      </c>
      <c r="F319" s="2" t="s">
        <v>11</v>
      </c>
      <c r="G319" s="2">
        <v>126</v>
      </c>
      <c r="H319" s="2">
        <v>1932</v>
      </c>
      <c r="I319" s="2">
        <v>150</v>
      </c>
      <c r="J319" s="2">
        <v>277</v>
      </c>
      <c r="K319" s="4">
        <v>0.83299999999999996</v>
      </c>
      <c r="L319" s="4">
        <v>0.58699999999999997</v>
      </c>
      <c r="M319" s="2">
        <v>111.1</v>
      </c>
      <c r="N319" s="2">
        <v>98.5</v>
      </c>
      <c r="O319" s="2">
        <v>89.2</v>
      </c>
      <c r="P319" s="2">
        <v>95.9</v>
      </c>
      <c r="Q319" s="4">
        <v>0.57299999999999995</v>
      </c>
      <c r="R319" s="4">
        <v>0.52500000000000002</v>
      </c>
      <c r="S319" s="4">
        <v>0.47</v>
      </c>
      <c r="T319" s="4">
        <v>0.5</v>
      </c>
      <c r="U319" s="19">
        <f>Table2[[#This Row],[NET PF]]/Table2[[#This Row],[HOME GAMES]]</f>
        <v>0.12698412698412698</v>
      </c>
      <c r="V319" s="28">
        <f>393/Table2[[#This Row],[AWAY GAMES]]</f>
        <v>2.62</v>
      </c>
      <c r="W319" s="4">
        <v>0.70899999999999996</v>
      </c>
      <c r="X319" s="4">
        <v>0.71099999999999997</v>
      </c>
      <c r="Y319" s="2">
        <v>16</v>
      </c>
      <c r="Z319" s="2">
        <v>294</v>
      </c>
      <c r="AA319" s="8">
        <f>Table2[[#This Row],[HOME MARGIN]]/Table2[[#This Row],[HOME GAMES]]</f>
        <v>15.333333333333334</v>
      </c>
      <c r="AB319" s="8">
        <f>Table2[[#This Row],[AWAY MARGIN]]/Table2[[#This Row],[AWAY GAMES]]</f>
        <v>1.8466666666666667</v>
      </c>
      <c r="AC319" s="8">
        <f>Table2[[#This Row],[HOME MARGIN/GAME]]-Table2[[#This Row],[AWAY MARGIN/GAME]]</f>
        <v>13.486666666666668</v>
      </c>
      <c r="AD319" s="23">
        <f>Table2[[#This Row],[HOME W/L%]]-Table2[[#This Row],[AWAY W/L%]]</f>
        <v>0.246</v>
      </c>
      <c r="AE319" s="22"/>
      <c r="AF319"/>
    </row>
    <row r="320" spans="1:32" hidden="1" x14ac:dyDescent="0.2">
      <c r="A320" s="1">
        <v>206</v>
      </c>
      <c r="B320" s="1"/>
      <c r="C320" s="2" t="s">
        <v>338</v>
      </c>
      <c r="D320" s="2" t="str">
        <f>IF(COUNTIF($AG$3:$AG$20,C320)&gt;0,$AG$2,
 IF(COUNTIF($AH$3:$AH$20,C320)&gt;0,$AH$2,
 IF(COUNTIF($AI$3:$AI$20,C320)&gt;0,$AI$2,
 IF(COUNTIF($AJ$3:$AJ$20,C320)&gt;0,$AJ$2,
 IF(COUNTIF($AK$3:$AK$20,C320)&gt;0,$AK$2,
 IF(COUNTIF($AL$3:$AL$20,C320)&gt;0,$AL$2,
 IF(COUNTIF($AM$3:$AM$20,C320)&gt;0,$AM$2,"Not Found")))))))</f>
        <v>Not Found</v>
      </c>
      <c r="E320" s="2" t="s">
        <v>10</v>
      </c>
      <c r="F320" s="2" t="s">
        <v>11</v>
      </c>
      <c r="G320" s="2">
        <v>139</v>
      </c>
      <c r="H320" s="2">
        <v>936</v>
      </c>
      <c r="I320" s="2">
        <v>151</v>
      </c>
      <c r="J320" s="2">
        <v>-861</v>
      </c>
      <c r="K320" s="4">
        <v>0.60399999999999998</v>
      </c>
      <c r="L320" s="4">
        <v>0.35799999999999998</v>
      </c>
      <c r="M320" s="2">
        <v>103.2</v>
      </c>
      <c r="N320" s="2">
        <v>95.9</v>
      </c>
      <c r="O320" s="2">
        <v>93.5</v>
      </c>
      <c r="P320" s="2">
        <v>104.2</v>
      </c>
      <c r="Q320" s="4">
        <v>0.53900000000000003</v>
      </c>
      <c r="R320" s="4">
        <v>0.50900000000000001</v>
      </c>
      <c r="S320" s="4">
        <v>0.504</v>
      </c>
      <c r="T320" s="4">
        <v>0.54500000000000004</v>
      </c>
      <c r="U320" s="19">
        <f>Table2[[#This Row],[NET PF]]/Table2[[#This Row],[HOME GAMES]]</f>
        <v>0.67625899280575541</v>
      </c>
      <c r="V320" s="28">
        <f>393/Table2[[#This Row],[AWAY GAMES]]</f>
        <v>2.6026490066225167</v>
      </c>
      <c r="W320" s="4">
        <v>0.70299999999999996</v>
      </c>
      <c r="X320" s="4">
        <v>0.71699999999999997</v>
      </c>
      <c r="Y320" s="2">
        <v>94</v>
      </c>
      <c r="Z320" s="2">
        <v>378</v>
      </c>
      <c r="AA320" s="8">
        <f>Table2[[#This Row],[HOME MARGIN]]/Table2[[#This Row],[HOME GAMES]]</f>
        <v>6.7338129496402876</v>
      </c>
      <c r="AB320" s="8">
        <f>Table2[[#This Row],[AWAY MARGIN]]/Table2[[#This Row],[AWAY GAMES]]</f>
        <v>-5.701986754966887</v>
      </c>
      <c r="AC320" s="8">
        <f>Table2[[#This Row],[HOME MARGIN/GAME]]-Table2[[#This Row],[AWAY MARGIN/GAME]]</f>
        <v>12.435799704607174</v>
      </c>
      <c r="AD320" s="23">
        <f>Table2[[#This Row],[HOME W/L%]]-Table2[[#This Row],[AWAY W/L%]]</f>
        <v>0.246</v>
      </c>
      <c r="AE320" s="22"/>
      <c r="AF320"/>
    </row>
    <row r="321" spans="1:32" hidden="1" x14ac:dyDescent="0.2">
      <c r="A321" s="1">
        <v>246</v>
      </c>
      <c r="B321" s="1"/>
      <c r="C321" s="2" t="s">
        <v>72</v>
      </c>
      <c r="D321" s="2" t="str">
        <f>IF(COUNTIF($AG$3:$AG$20,C321)&gt;0,$AG$2,
 IF(COUNTIF($AH$3:$AH$20,C321)&gt;0,$AH$2,
 IF(COUNTIF($AI$3:$AI$20,C321)&gt;0,$AI$2,
 IF(COUNTIF($AJ$3:$AJ$20,C321)&gt;0,$AJ$2,
 IF(COUNTIF($AK$3:$AK$20,C321)&gt;0,$AK$2,
 IF(COUNTIF($AL$3:$AL$20,C321)&gt;0,$AL$2,
 IF(COUNTIF($AM$3:$AM$20,C321)&gt;0,$AM$2,"Not Found")))))))</f>
        <v>Not Found</v>
      </c>
      <c r="E321" s="2" t="s">
        <v>73</v>
      </c>
      <c r="F321" s="2" t="s">
        <v>11</v>
      </c>
      <c r="G321" s="2">
        <v>68</v>
      </c>
      <c r="H321" s="2">
        <v>742</v>
      </c>
      <c r="I321" s="2">
        <v>66</v>
      </c>
      <c r="J321" s="2">
        <v>-92</v>
      </c>
      <c r="K321" s="4">
        <v>0.69099999999999995</v>
      </c>
      <c r="L321" s="4">
        <v>0.439</v>
      </c>
      <c r="M321" s="2">
        <v>111</v>
      </c>
      <c r="N321" s="2">
        <v>101.8</v>
      </c>
      <c r="O321" s="2">
        <v>95.6</v>
      </c>
      <c r="P321" s="2">
        <v>103.8</v>
      </c>
      <c r="Q321" s="4">
        <v>0.58299999999999996</v>
      </c>
      <c r="R321" s="4">
        <v>0.54600000000000004</v>
      </c>
      <c r="S321" s="4">
        <v>0.51800000000000002</v>
      </c>
      <c r="T321" s="4">
        <v>0.54800000000000004</v>
      </c>
      <c r="U321" s="19">
        <f>Table2[[#This Row],[NET PF]]/Table2[[#This Row],[HOME GAMES]]</f>
        <v>-0.75</v>
      </c>
      <c r="V321" s="28">
        <f>393/Table2[[#This Row],[AWAY GAMES]]</f>
        <v>5.9545454545454541</v>
      </c>
      <c r="W321" s="4">
        <v>0.72899999999999998</v>
      </c>
      <c r="X321" s="4">
        <v>0.72</v>
      </c>
      <c r="Y321" s="2">
        <v>-51</v>
      </c>
      <c r="Z321" s="2">
        <v>-48</v>
      </c>
      <c r="AA321" s="8">
        <f>Table2[[#This Row],[HOME MARGIN]]/Table2[[#This Row],[HOME GAMES]]</f>
        <v>10.911764705882353</v>
      </c>
      <c r="AB321" s="8">
        <f>Table2[[#This Row],[AWAY MARGIN]]/Table2[[#This Row],[AWAY GAMES]]</f>
        <v>-1.393939393939394</v>
      </c>
      <c r="AC321" s="8">
        <f>Table2[[#This Row],[HOME MARGIN/GAME]]-Table2[[#This Row],[AWAY MARGIN/GAME]]</f>
        <v>12.305704099821748</v>
      </c>
      <c r="AD321" s="23">
        <f>Table2[[#This Row],[HOME W/L%]]-Table2[[#This Row],[AWAY W/L%]]</f>
        <v>0.25199999999999995</v>
      </c>
      <c r="AE321" s="22"/>
      <c r="AF321"/>
    </row>
    <row r="322" spans="1:32" hidden="1" x14ac:dyDescent="0.2">
      <c r="A322" s="1">
        <v>118</v>
      </c>
      <c r="B322" s="1"/>
      <c r="C322" s="2" t="s">
        <v>61</v>
      </c>
      <c r="D322" s="2" t="str">
        <f>IF(COUNTIF($AG$3:$AG$20,C322)&gt;0,$AG$2,
 IF(COUNTIF($AH$3:$AH$20,C322)&gt;0,$AH$2,
 IF(COUNTIF($AI$3:$AI$20,C322)&gt;0,$AI$2,
 IF(COUNTIF($AJ$3:$AJ$20,C322)&gt;0,$AJ$2,
 IF(COUNTIF($AK$3:$AK$20,C322)&gt;0,$AK$2,
 IF(COUNTIF($AL$3:$AL$20,C322)&gt;0,$AL$2,
 IF(COUNTIF($AM$3:$AM$20,C322)&gt;0,$AM$2,"Not Found")))))))</f>
        <v>Not Found</v>
      </c>
      <c r="E322" s="2" t="s">
        <v>10</v>
      </c>
      <c r="F322" s="2" t="s">
        <v>11</v>
      </c>
      <c r="G322" s="2">
        <v>142</v>
      </c>
      <c r="H322" s="2">
        <v>1398</v>
      </c>
      <c r="I322" s="2">
        <v>137</v>
      </c>
      <c r="J322" s="2">
        <v>-37</v>
      </c>
      <c r="K322" s="4">
        <v>0.72499999999999998</v>
      </c>
      <c r="L322" s="4">
        <v>0.51800000000000002</v>
      </c>
      <c r="M322" s="2">
        <v>110.1</v>
      </c>
      <c r="N322" s="2">
        <v>102.4</v>
      </c>
      <c r="O322" s="2">
        <v>95.5</v>
      </c>
      <c r="P322" s="2">
        <v>102.8</v>
      </c>
      <c r="Q322" s="4">
        <v>0.57299999999999995</v>
      </c>
      <c r="R322" s="4">
        <v>0.54300000000000004</v>
      </c>
      <c r="S322" s="4">
        <v>0.51100000000000001</v>
      </c>
      <c r="T322" s="4">
        <v>0.53800000000000003</v>
      </c>
      <c r="U322" s="19">
        <f>Table2[[#This Row],[NET PF]]/Table2[[#This Row],[HOME GAMES]]</f>
        <v>-1.7535211267605635</v>
      </c>
      <c r="V322" s="28">
        <f>393/Table2[[#This Row],[AWAY GAMES]]</f>
        <v>2.8686131386861313</v>
      </c>
      <c r="W322" s="4">
        <v>0.70099999999999996</v>
      </c>
      <c r="X322" s="4">
        <v>0.73</v>
      </c>
      <c r="Y322" s="2">
        <v>-249</v>
      </c>
      <c r="Z322" s="2">
        <v>87</v>
      </c>
      <c r="AA322" s="8">
        <f>Table2[[#This Row],[HOME MARGIN]]/Table2[[#This Row],[HOME GAMES]]</f>
        <v>9.8450704225352119</v>
      </c>
      <c r="AB322" s="8">
        <f>Table2[[#This Row],[AWAY MARGIN]]/Table2[[#This Row],[AWAY GAMES]]</f>
        <v>-0.27007299270072993</v>
      </c>
      <c r="AC322" s="8">
        <f>Table2[[#This Row],[HOME MARGIN/GAME]]-Table2[[#This Row],[AWAY MARGIN/GAME]]</f>
        <v>10.115143415235941</v>
      </c>
      <c r="AD322" s="23">
        <f>Table2[[#This Row],[HOME W/L%]]-Table2[[#This Row],[AWAY W/L%]]</f>
        <v>0.20699999999999996</v>
      </c>
      <c r="AE322" s="22"/>
      <c r="AF322"/>
    </row>
    <row r="323" spans="1:32" x14ac:dyDescent="0.2">
      <c r="A323" s="1">
        <v>166</v>
      </c>
      <c r="B323" s="1">
        <v>61</v>
      </c>
      <c r="C323" s="2" t="s">
        <v>170</v>
      </c>
      <c r="D323" s="2" t="str">
        <f>IF(COUNTIF($AG$3:$AG$20,C323)&gt;0,$AG$2,
 IF(COUNTIF($AH$3:$AH$20,C323)&gt;0,$AH$2,
 IF(COUNTIF($AI$3:$AI$20,C323)&gt;0,$AI$2,
 IF(COUNTIF($AJ$3:$AJ$20,C323)&gt;0,$AJ$2,
 IF(COUNTIF($AK$3:$AK$20,C323)&gt;0,$AK$2,
 IF(COUNTIF($AL$3:$AL$20,C323)&gt;0,$AL$2,
 IF(COUNTIF($AM$3:$AM$20,C323)&gt;0,$AM$2,"Not Found")))))))</f>
        <v>Big 12</v>
      </c>
      <c r="E323" s="2" t="s">
        <v>10</v>
      </c>
      <c r="F323" s="2" t="s">
        <v>11</v>
      </c>
      <c r="G323" s="2">
        <v>159</v>
      </c>
      <c r="H323" s="2">
        <v>1164</v>
      </c>
      <c r="I323" s="2">
        <v>110</v>
      </c>
      <c r="J323" s="2">
        <v>-506</v>
      </c>
      <c r="K323" s="4">
        <v>0.70399999999999996</v>
      </c>
      <c r="L323" s="4">
        <v>0.36399999999999999</v>
      </c>
      <c r="M323" s="2">
        <v>103.8</v>
      </c>
      <c r="N323" s="2">
        <v>96.7</v>
      </c>
      <c r="O323" s="2">
        <v>93.2</v>
      </c>
      <c r="P323" s="2">
        <v>103.3</v>
      </c>
      <c r="Q323" s="4">
        <v>0.54400000000000004</v>
      </c>
      <c r="R323" s="4">
        <v>0.51900000000000002</v>
      </c>
      <c r="S323" s="4">
        <v>0.49099999999999999</v>
      </c>
      <c r="T323" s="4">
        <v>0.53300000000000003</v>
      </c>
      <c r="U323" s="19">
        <f>Table2[[#This Row],[NET PF]]/Table2[[#This Row],[HOME GAMES]]</f>
        <v>-3.3018867924528301</v>
      </c>
      <c r="V323" s="28">
        <f>393/Table2[[#This Row],[AWAY GAMES]]</f>
        <v>3.5727272727272728</v>
      </c>
      <c r="W323" s="4">
        <v>0.68899999999999995</v>
      </c>
      <c r="X323" s="4">
        <v>0.73899999999999999</v>
      </c>
      <c r="Y323" s="2">
        <v>-525</v>
      </c>
      <c r="Z323" s="2">
        <v>24</v>
      </c>
      <c r="AA323" s="8">
        <f>Table2[[#This Row],[HOME MARGIN]]/Table2[[#This Row],[HOME GAMES]]</f>
        <v>7.3207547169811322</v>
      </c>
      <c r="AB323" s="8">
        <f>Table2[[#This Row],[AWAY MARGIN]]/Table2[[#This Row],[AWAY GAMES]]</f>
        <v>-4.5999999999999996</v>
      </c>
      <c r="AC323" s="8">
        <f>Table2[[#This Row],[HOME MARGIN/GAME]]-Table2[[#This Row],[AWAY MARGIN/GAME]]</f>
        <v>11.920754716981133</v>
      </c>
      <c r="AD323" s="23">
        <f>Table2[[#This Row],[HOME W/L%]]-Table2[[#This Row],[AWAY W/L%]]</f>
        <v>0.33999999999999997</v>
      </c>
      <c r="AE323" s="22"/>
      <c r="AF323"/>
    </row>
    <row r="324" spans="1:32" x14ac:dyDescent="0.2">
      <c r="A324" s="1">
        <v>29</v>
      </c>
      <c r="B324" s="1">
        <v>20</v>
      </c>
      <c r="C324" s="2" t="s">
        <v>57</v>
      </c>
      <c r="D324" s="2" t="str">
        <f>IF(COUNTIF($AG$3:$AG$20,C324)&gt;0,$AG$2,
 IF(COUNTIF($AH$3:$AH$20,C324)&gt;0,$AH$2,
 IF(COUNTIF($AI$3:$AI$20,C324)&gt;0,$AI$2,
 IF(COUNTIF($AJ$3:$AJ$20,C324)&gt;0,$AJ$2,
 IF(COUNTIF($AK$3:$AK$20,C324)&gt;0,$AK$2,
 IF(COUNTIF($AL$3:$AL$20,C324)&gt;0,$AL$2,
 IF(COUNTIF($AM$3:$AM$20,C324)&gt;0,$AM$2,"Not Found")))))))</f>
        <v>Big 10</v>
      </c>
      <c r="E324" s="2" t="s">
        <v>10</v>
      </c>
      <c r="F324" s="2" t="s">
        <v>11</v>
      </c>
      <c r="G324" s="2">
        <v>162</v>
      </c>
      <c r="H324" s="2">
        <v>2090</v>
      </c>
      <c r="I324" s="2">
        <v>105</v>
      </c>
      <c r="J324" s="2">
        <v>-4</v>
      </c>
      <c r="K324" s="4">
        <v>0.82099999999999995</v>
      </c>
      <c r="L324" s="4">
        <v>0.51400000000000001</v>
      </c>
      <c r="M324" s="2">
        <v>112</v>
      </c>
      <c r="N324" s="2">
        <v>104.6</v>
      </c>
      <c r="O324" s="2">
        <v>93.8</v>
      </c>
      <c r="P324" s="2">
        <v>104.6</v>
      </c>
      <c r="Q324" s="4">
        <v>0.56399999999999995</v>
      </c>
      <c r="R324" s="4">
        <v>0.53900000000000003</v>
      </c>
      <c r="S324" s="4">
        <v>0.505</v>
      </c>
      <c r="T324" s="4">
        <v>0.54400000000000004</v>
      </c>
      <c r="U324" s="19">
        <f>Table2[[#This Row],[NET PF]]/Table2[[#This Row],[HOME GAMES]]</f>
        <v>-2.6666666666666665</v>
      </c>
      <c r="V324" s="28">
        <f>393/Table2[[#This Row],[AWAY GAMES]]</f>
        <v>3.7428571428571429</v>
      </c>
      <c r="W324" s="4">
        <v>0.69699999999999995</v>
      </c>
      <c r="X324" s="4">
        <v>0.72099999999999997</v>
      </c>
      <c r="Y324" s="2">
        <v>-432</v>
      </c>
      <c r="Z324" s="2">
        <v>96</v>
      </c>
      <c r="AA324" s="8">
        <f>Table2[[#This Row],[HOME MARGIN]]/Table2[[#This Row],[HOME GAMES]]</f>
        <v>12.901234567901234</v>
      </c>
      <c r="AB324" s="8">
        <f>Table2[[#This Row],[AWAY MARGIN]]/Table2[[#This Row],[AWAY GAMES]]</f>
        <v>-3.8095238095238099E-2</v>
      </c>
      <c r="AC324" s="8">
        <f>Table2[[#This Row],[HOME MARGIN/GAME]]-Table2[[#This Row],[AWAY MARGIN/GAME]]</f>
        <v>12.939329805996472</v>
      </c>
      <c r="AD324" s="23">
        <f>Table2[[#This Row],[HOME W/L%]]-Table2[[#This Row],[AWAY W/L%]]</f>
        <v>0.30699999999999994</v>
      </c>
      <c r="AE324" s="22"/>
      <c r="AF324"/>
    </row>
    <row r="325" spans="1:32" hidden="1" x14ac:dyDescent="0.2">
      <c r="A325" s="1">
        <v>165</v>
      </c>
      <c r="B325" s="1"/>
      <c r="C325" s="2" t="s">
        <v>177</v>
      </c>
      <c r="D325" s="2" t="str">
        <f>IF(COUNTIF($AG$3:$AG$20,C325)&gt;0,$AG$2,
 IF(COUNTIF($AH$3:$AH$20,C325)&gt;0,$AH$2,
 IF(COUNTIF($AI$3:$AI$20,C325)&gt;0,$AI$2,
 IF(COUNTIF($AJ$3:$AJ$20,C325)&gt;0,$AJ$2,
 IF(COUNTIF($AK$3:$AK$20,C325)&gt;0,$AK$2,
 IF(COUNTIF($AL$3:$AL$20,C325)&gt;0,$AL$2,
 IF(COUNTIF($AM$3:$AM$20,C325)&gt;0,$AM$2,"Not Found")))))))</f>
        <v>Not Found</v>
      </c>
      <c r="E325" s="2" t="s">
        <v>10</v>
      </c>
      <c r="F325" s="2" t="s">
        <v>11</v>
      </c>
      <c r="G325" s="2">
        <v>139</v>
      </c>
      <c r="H325" s="2">
        <v>1190</v>
      </c>
      <c r="I325" s="2">
        <v>144</v>
      </c>
      <c r="J325" s="2">
        <v>-529</v>
      </c>
      <c r="K325" s="4">
        <v>0.64</v>
      </c>
      <c r="L325" s="4">
        <v>0.36099999999999999</v>
      </c>
      <c r="M325" s="2">
        <v>109.5</v>
      </c>
      <c r="N325" s="2">
        <v>99.9</v>
      </c>
      <c r="O325" s="2">
        <v>97.7</v>
      </c>
      <c r="P325" s="2">
        <v>105</v>
      </c>
      <c r="Q325" s="4">
        <v>0.58299999999999996</v>
      </c>
      <c r="R325" s="4">
        <v>0.54400000000000004</v>
      </c>
      <c r="S325" s="4">
        <v>0.51800000000000002</v>
      </c>
      <c r="T325" s="4">
        <v>0.55000000000000004</v>
      </c>
      <c r="U325" s="19">
        <f>Table2[[#This Row],[NET PF]]/Table2[[#This Row],[HOME GAMES]]</f>
        <v>-2.6474820143884892</v>
      </c>
      <c r="V325" s="28">
        <f>393/Table2[[#This Row],[AWAY GAMES]]</f>
        <v>2.7291666666666665</v>
      </c>
      <c r="W325" s="4">
        <v>0.71799999999999997</v>
      </c>
      <c r="X325" s="4">
        <v>0.71199999999999997</v>
      </c>
      <c r="Y325" s="2">
        <v>-368</v>
      </c>
      <c r="Z325" s="2">
        <v>48</v>
      </c>
      <c r="AA325" s="8">
        <f>Table2[[#This Row],[HOME MARGIN]]/Table2[[#This Row],[HOME GAMES]]</f>
        <v>8.5611510791366907</v>
      </c>
      <c r="AB325" s="8">
        <f>Table2[[#This Row],[AWAY MARGIN]]/Table2[[#This Row],[AWAY GAMES]]</f>
        <v>-3.6736111111111112</v>
      </c>
      <c r="AC325" s="8">
        <f>Table2[[#This Row],[HOME MARGIN/GAME]]-Table2[[#This Row],[AWAY MARGIN/GAME]]</f>
        <v>12.234762190247801</v>
      </c>
      <c r="AD325" s="23">
        <f>Table2[[#This Row],[HOME W/L%]]-Table2[[#This Row],[AWAY W/L%]]</f>
        <v>0.27900000000000003</v>
      </c>
      <c r="AE325" s="22"/>
      <c r="AF325"/>
    </row>
    <row r="326" spans="1:32" hidden="1" x14ac:dyDescent="0.2">
      <c r="A326" s="1">
        <v>220</v>
      </c>
      <c r="B326" s="1"/>
      <c r="C326" s="2" t="s">
        <v>168</v>
      </c>
      <c r="D326" s="2" t="str">
        <f>IF(COUNTIF($AG$3:$AG$20,C326)&gt;0,$AG$2,
 IF(COUNTIF($AH$3:$AH$20,C326)&gt;0,$AH$2,
 IF(COUNTIF($AI$3:$AI$20,C326)&gt;0,$AI$2,
 IF(COUNTIF($AJ$3:$AJ$20,C326)&gt;0,$AJ$2,
 IF(COUNTIF($AK$3:$AK$20,C326)&gt;0,$AK$2,
 IF(COUNTIF($AL$3:$AL$20,C326)&gt;0,$AL$2,
 IF(COUNTIF($AM$3:$AM$20,C326)&gt;0,$AM$2,"Not Found")))))))</f>
        <v>Not Found</v>
      </c>
      <c r="E326" s="2" t="s">
        <v>10</v>
      </c>
      <c r="F326" s="2" t="s">
        <v>11</v>
      </c>
      <c r="G326" s="2">
        <v>141</v>
      </c>
      <c r="H326" s="2">
        <v>889</v>
      </c>
      <c r="I326" s="2">
        <v>145</v>
      </c>
      <c r="J326" s="2">
        <v>-497</v>
      </c>
      <c r="K326" s="4">
        <v>0.63100000000000001</v>
      </c>
      <c r="L326" s="4">
        <v>0.41399999999999998</v>
      </c>
      <c r="M326" s="2">
        <v>108.1</v>
      </c>
      <c r="N326" s="2">
        <v>100.1</v>
      </c>
      <c r="O326" s="2">
        <v>99.2</v>
      </c>
      <c r="P326" s="2">
        <v>104.9</v>
      </c>
      <c r="Q326" s="4">
        <v>0.56799999999999995</v>
      </c>
      <c r="R326" s="4">
        <v>0.53600000000000003</v>
      </c>
      <c r="S326" s="4">
        <v>0.53500000000000003</v>
      </c>
      <c r="T326" s="4">
        <v>0.54600000000000004</v>
      </c>
      <c r="U326" s="19">
        <f>Table2[[#This Row],[NET PF]]/Table2[[#This Row],[HOME GAMES]]</f>
        <v>-2.0709219858156027</v>
      </c>
      <c r="V326" s="28">
        <f>393/Table2[[#This Row],[AWAY GAMES]]</f>
        <v>2.7103448275862068</v>
      </c>
      <c r="W326" s="4">
        <v>0.72199999999999998</v>
      </c>
      <c r="X326" s="4">
        <v>0.71399999999999997</v>
      </c>
      <c r="Y326" s="2">
        <v>-292</v>
      </c>
      <c r="Z326" s="2">
        <v>-39</v>
      </c>
      <c r="AA326" s="8">
        <f>Table2[[#This Row],[HOME MARGIN]]/Table2[[#This Row],[HOME GAMES]]</f>
        <v>6.3049645390070923</v>
      </c>
      <c r="AB326" s="8">
        <f>Table2[[#This Row],[AWAY MARGIN]]/Table2[[#This Row],[AWAY GAMES]]</f>
        <v>-3.4275862068965517</v>
      </c>
      <c r="AC326" s="8">
        <f>Table2[[#This Row],[HOME MARGIN/GAME]]-Table2[[#This Row],[AWAY MARGIN/GAME]]</f>
        <v>9.7325507459036444</v>
      </c>
      <c r="AD326" s="23">
        <f>Table2[[#This Row],[HOME W/L%]]-Table2[[#This Row],[AWAY W/L%]]</f>
        <v>0.21700000000000003</v>
      </c>
      <c r="AE326" s="22"/>
      <c r="AF326"/>
    </row>
    <row r="327" spans="1:32" hidden="1" x14ac:dyDescent="0.2">
      <c r="A327" s="1">
        <v>82</v>
      </c>
      <c r="B327" s="1"/>
      <c r="C327" s="2" t="s">
        <v>381</v>
      </c>
      <c r="D327" s="2" t="str">
        <f>IF(COUNTIF($AG$3:$AG$20,C327)&gt;0,$AG$2,
 IF(COUNTIF($AH$3:$AH$20,C327)&gt;0,$AH$2,
 IF(COUNTIF($AI$3:$AI$20,C327)&gt;0,$AI$2,
 IF(COUNTIF($AJ$3:$AJ$20,C327)&gt;0,$AJ$2,
 IF(COUNTIF($AK$3:$AK$20,C327)&gt;0,$AK$2,
 IF(COUNTIF($AL$3:$AL$20,C327)&gt;0,$AL$2,
 IF(COUNTIF($AM$3:$AM$20,C327)&gt;0,$AM$2,"Not Found")))))))</f>
        <v>Not Found</v>
      </c>
      <c r="E327" s="2" t="s">
        <v>10</v>
      </c>
      <c r="F327" s="2" t="s">
        <v>11</v>
      </c>
      <c r="G327" s="2">
        <v>134</v>
      </c>
      <c r="H327" s="2">
        <v>1686</v>
      </c>
      <c r="I327" s="2">
        <v>142</v>
      </c>
      <c r="J327" s="2">
        <v>-676</v>
      </c>
      <c r="K327" s="4">
        <v>0.76100000000000001</v>
      </c>
      <c r="L327" s="4">
        <v>0.42299999999999999</v>
      </c>
      <c r="M327" s="2">
        <v>111.6</v>
      </c>
      <c r="N327" s="2">
        <v>100.1</v>
      </c>
      <c r="O327" s="2">
        <v>94</v>
      </c>
      <c r="P327" s="2">
        <v>106.8</v>
      </c>
      <c r="Q327" s="4">
        <v>0.59</v>
      </c>
      <c r="R327" s="4">
        <v>0.54100000000000004</v>
      </c>
      <c r="S327" s="4">
        <v>0.51200000000000001</v>
      </c>
      <c r="T327" s="4">
        <v>0.56000000000000005</v>
      </c>
      <c r="U327" s="19">
        <f>Table2[[#This Row],[NET PF]]/Table2[[#This Row],[HOME GAMES]]</f>
        <v>-1.4626865671641791</v>
      </c>
      <c r="V327" s="28">
        <f>393/Table2[[#This Row],[AWAY GAMES]]</f>
        <v>2.767605633802817</v>
      </c>
      <c r="W327" s="4">
        <v>0.67300000000000004</v>
      </c>
      <c r="X327" s="4">
        <v>0.70699999999999996</v>
      </c>
      <c r="Y327" s="2">
        <v>-196</v>
      </c>
      <c r="Z327" s="2">
        <v>49</v>
      </c>
      <c r="AA327" s="8">
        <f>Table2[[#This Row],[HOME MARGIN]]/Table2[[#This Row],[HOME GAMES]]</f>
        <v>12.582089552238806</v>
      </c>
      <c r="AB327" s="8">
        <f>Table2[[#This Row],[AWAY MARGIN]]/Table2[[#This Row],[AWAY GAMES]]</f>
        <v>-4.76056338028169</v>
      </c>
      <c r="AC327" s="8">
        <f>Table2[[#This Row],[HOME MARGIN/GAME]]-Table2[[#This Row],[AWAY MARGIN/GAME]]</f>
        <v>17.342652932520494</v>
      </c>
      <c r="AD327" s="23">
        <f>Table2[[#This Row],[HOME W/L%]]-Table2[[#This Row],[AWAY W/L%]]</f>
        <v>0.33800000000000002</v>
      </c>
      <c r="AE327" s="22"/>
      <c r="AF327"/>
    </row>
    <row r="328" spans="1:32" hidden="1" x14ac:dyDescent="0.2">
      <c r="A328" s="1">
        <v>54</v>
      </c>
      <c r="B328" s="1"/>
      <c r="C328" s="2" t="s">
        <v>37</v>
      </c>
      <c r="D328" s="2" t="str">
        <f>IF(COUNTIF($AG$3:$AG$20,C328)&gt;0,$AG$2,
 IF(COUNTIF($AH$3:$AH$20,C328)&gt;0,$AH$2,
 IF(COUNTIF($AI$3:$AI$20,C328)&gt;0,$AI$2,
 IF(COUNTIF($AJ$3:$AJ$20,C328)&gt;0,$AJ$2,
 IF(COUNTIF($AK$3:$AK$20,C328)&gt;0,$AK$2,
 IF(COUNTIF($AL$3:$AL$20,C328)&gt;0,$AL$2,
 IF(COUNTIF($AM$3:$AM$20,C328)&gt;0,$AM$2,"Not Found")))))))</f>
        <v>Not Found</v>
      </c>
      <c r="E328" s="2" t="s">
        <v>10</v>
      </c>
      <c r="F328" s="2" t="s">
        <v>11</v>
      </c>
      <c r="G328" s="2">
        <v>148</v>
      </c>
      <c r="H328" s="2">
        <v>1899</v>
      </c>
      <c r="I328" s="2">
        <v>138</v>
      </c>
      <c r="J328" s="2">
        <v>128</v>
      </c>
      <c r="K328" s="4">
        <v>0.79100000000000004</v>
      </c>
      <c r="L328" s="4">
        <v>0.57199999999999995</v>
      </c>
      <c r="M328" s="2">
        <v>109.6</v>
      </c>
      <c r="N328" s="2">
        <v>103.3</v>
      </c>
      <c r="O328" s="2">
        <v>91</v>
      </c>
      <c r="P328" s="2">
        <v>101.9</v>
      </c>
      <c r="Q328" s="4">
        <v>0.55900000000000005</v>
      </c>
      <c r="R328" s="4">
        <v>0.53300000000000003</v>
      </c>
      <c r="S328" s="4">
        <v>0.501</v>
      </c>
      <c r="T328" s="4">
        <v>0.54700000000000004</v>
      </c>
      <c r="U328" s="19">
        <f>Table2[[#This Row],[NET PF]]/Table2[[#This Row],[HOME GAMES]]</f>
        <v>-0.56756756756756754</v>
      </c>
      <c r="V328" s="28">
        <f>393/Table2[[#This Row],[AWAY GAMES]]</f>
        <v>2.847826086956522</v>
      </c>
      <c r="W328" s="4">
        <v>0.70799999999999996</v>
      </c>
      <c r="X328" s="4">
        <v>0.72599999999999998</v>
      </c>
      <c r="Y328" s="2">
        <v>-84</v>
      </c>
      <c r="Z328" s="2">
        <v>330</v>
      </c>
      <c r="AA328" s="8">
        <f>Table2[[#This Row],[HOME MARGIN]]/Table2[[#This Row],[HOME GAMES]]</f>
        <v>12.831081081081081</v>
      </c>
      <c r="AB328" s="8">
        <f>Table2[[#This Row],[AWAY MARGIN]]/Table2[[#This Row],[AWAY GAMES]]</f>
        <v>0.92753623188405798</v>
      </c>
      <c r="AC328" s="8">
        <f>Table2[[#This Row],[HOME MARGIN/GAME]]-Table2[[#This Row],[AWAY MARGIN/GAME]]</f>
        <v>11.903544849197022</v>
      </c>
      <c r="AD328" s="23">
        <f>Table2[[#This Row],[HOME W/L%]]-Table2[[#This Row],[AWAY W/L%]]</f>
        <v>0.21900000000000008</v>
      </c>
      <c r="AE328" s="22"/>
      <c r="AF328"/>
    </row>
    <row r="329" spans="1:32" hidden="1" x14ac:dyDescent="0.2">
      <c r="A329" s="1">
        <v>126</v>
      </c>
      <c r="B329" s="1"/>
      <c r="C329" s="2" t="s">
        <v>115</v>
      </c>
      <c r="D329" s="2" t="str">
        <f>IF(COUNTIF($AG$3:$AG$20,C329)&gt;0,$AG$2,
 IF(COUNTIF($AH$3:$AH$20,C329)&gt;0,$AH$2,
 IF(COUNTIF($AI$3:$AI$20,C329)&gt;0,$AI$2,
 IF(COUNTIF($AJ$3:$AJ$20,C329)&gt;0,$AJ$2,
 IF(COUNTIF($AK$3:$AK$20,C329)&gt;0,$AK$2,
 IF(COUNTIF($AL$3:$AL$20,C329)&gt;0,$AL$2,
 IF(COUNTIF($AM$3:$AM$20,C329)&gt;0,$AM$2,"Not Found")))))))</f>
        <v>Not Found</v>
      </c>
      <c r="E329" s="2" t="s">
        <v>10</v>
      </c>
      <c r="F329" s="2" t="s">
        <v>11</v>
      </c>
      <c r="G329" s="2">
        <v>136</v>
      </c>
      <c r="H329" s="2">
        <v>1373</v>
      </c>
      <c r="I329" s="2">
        <v>131</v>
      </c>
      <c r="J329" s="2">
        <v>-317</v>
      </c>
      <c r="K329" s="4">
        <v>0.71299999999999997</v>
      </c>
      <c r="L329" s="4">
        <v>0.48099999999999998</v>
      </c>
      <c r="M329" s="2">
        <v>113.3</v>
      </c>
      <c r="N329" s="2">
        <v>103</v>
      </c>
      <c r="O329" s="2">
        <v>99.2</v>
      </c>
      <c r="P329" s="2">
        <v>106.4</v>
      </c>
      <c r="Q329" s="4">
        <v>0.57099999999999995</v>
      </c>
      <c r="R329" s="4">
        <v>0.52700000000000002</v>
      </c>
      <c r="S329" s="4">
        <v>0.52800000000000002</v>
      </c>
      <c r="T329" s="4">
        <v>0.56200000000000006</v>
      </c>
      <c r="U329" s="19">
        <f>Table2[[#This Row],[NET PF]]/Table2[[#This Row],[HOME GAMES]]</f>
        <v>-1.8676470588235294</v>
      </c>
      <c r="V329" s="28">
        <f>393/Table2[[#This Row],[AWAY GAMES]]</f>
        <v>3</v>
      </c>
      <c r="W329" s="4">
        <v>0.69199999999999995</v>
      </c>
      <c r="X329" s="4">
        <v>0.71799999999999997</v>
      </c>
      <c r="Y329" s="2">
        <v>-254</v>
      </c>
      <c r="Z329" s="2">
        <v>237</v>
      </c>
      <c r="AA329" s="8">
        <f>Table2[[#This Row],[HOME MARGIN]]/Table2[[#This Row],[HOME GAMES]]</f>
        <v>10.095588235294118</v>
      </c>
      <c r="AB329" s="8">
        <f>Table2[[#This Row],[AWAY MARGIN]]/Table2[[#This Row],[AWAY GAMES]]</f>
        <v>-2.4198473282442747</v>
      </c>
      <c r="AC329" s="8">
        <f>Table2[[#This Row],[HOME MARGIN/GAME]]-Table2[[#This Row],[AWAY MARGIN/GAME]]</f>
        <v>12.515435563538393</v>
      </c>
      <c r="AD329" s="23">
        <f>Table2[[#This Row],[HOME W/L%]]-Table2[[#This Row],[AWAY W/L%]]</f>
        <v>0.23199999999999998</v>
      </c>
      <c r="AE329" s="22"/>
      <c r="AF329"/>
    </row>
    <row r="330" spans="1:32" hidden="1" x14ac:dyDescent="0.2">
      <c r="A330" s="1">
        <v>154</v>
      </c>
      <c r="B330" s="1"/>
      <c r="C330" s="2" t="s">
        <v>130</v>
      </c>
      <c r="D330" s="2" t="str">
        <f>IF(COUNTIF($AG$3:$AG$20,C330)&gt;0,$AG$2,
 IF(COUNTIF($AH$3:$AH$20,C330)&gt;0,$AH$2,
 IF(COUNTIF($AI$3:$AI$20,C330)&gt;0,$AI$2,
 IF(COUNTIF($AJ$3:$AJ$20,C330)&gt;0,$AJ$2,
 IF(COUNTIF($AK$3:$AK$20,C330)&gt;0,$AK$2,
 IF(COUNTIF($AL$3:$AL$20,C330)&gt;0,$AL$2,
 IF(COUNTIF($AM$3:$AM$20,C330)&gt;0,$AM$2,"Not Found")))))))</f>
        <v>Not Found</v>
      </c>
      <c r="E330" s="2" t="s">
        <v>10</v>
      </c>
      <c r="F330" s="2" t="s">
        <v>11</v>
      </c>
      <c r="G330" s="2">
        <v>167</v>
      </c>
      <c r="H330" s="2">
        <v>1243</v>
      </c>
      <c r="I330" s="2">
        <v>110</v>
      </c>
      <c r="J330" s="2">
        <v>-356</v>
      </c>
      <c r="K330" s="4">
        <v>0.66500000000000004</v>
      </c>
      <c r="L330" s="4">
        <v>0.4</v>
      </c>
      <c r="M330" s="2">
        <v>106.1</v>
      </c>
      <c r="N330" s="2">
        <v>100.9</v>
      </c>
      <c r="O330" s="2">
        <v>95.6</v>
      </c>
      <c r="P330" s="2">
        <v>105.5</v>
      </c>
      <c r="Q330" s="4">
        <v>0.54200000000000004</v>
      </c>
      <c r="R330" s="4">
        <v>0.53400000000000003</v>
      </c>
      <c r="S330" s="4">
        <v>0.50800000000000001</v>
      </c>
      <c r="T330" s="4">
        <v>0.55300000000000005</v>
      </c>
      <c r="U330" s="19">
        <f>Table2[[#This Row],[NET PF]]/Table2[[#This Row],[HOME GAMES]]</f>
        <v>-2.5269461077844313</v>
      </c>
      <c r="V330" s="28">
        <f>393/Table2[[#This Row],[AWAY GAMES]]</f>
        <v>3.5727272727272728</v>
      </c>
      <c r="W330" s="4">
        <v>0.71299999999999997</v>
      </c>
      <c r="X330" s="4">
        <v>0.72099999999999997</v>
      </c>
      <c r="Y330" s="2">
        <v>-422</v>
      </c>
      <c r="Z330" s="2">
        <v>153</v>
      </c>
      <c r="AA330" s="8">
        <f>Table2[[#This Row],[HOME MARGIN]]/Table2[[#This Row],[HOME GAMES]]</f>
        <v>7.4431137724550895</v>
      </c>
      <c r="AB330" s="8">
        <f>Table2[[#This Row],[AWAY MARGIN]]/Table2[[#This Row],[AWAY GAMES]]</f>
        <v>-3.2363636363636363</v>
      </c>
      <c r="AC330" s="8">
        <f>Table2[[#This Row],[HOME MARGIN/GAME]]-Table2[[#This Row],[AWAY MARGIN/GAME]]</f>
        <v>10.679477408818727</v>
      </c>
      <c r="AD330" s="23">
        <f>Table2[[#This Row],[HOME W/L%]]-Table2[[#This Row],[AWAY W/L%]]</f>
        <v>0.26500000000000001</v>
      </c>
      <c r="AE330" s="22"/>
      <c r="AF330"/>
    </row>
    <row r="331" spans="1:32" hidden="1" x14ac:dyDescent="0.2">
      <c r="A331" s="1">
        <v>309</v>
      </c>
      <c r="B331" s="1"/>
      <c r="C331" s="2" t="s">
        <v>240</v>
      </c>
      <c r="D331" s="2" t="str">
        <f>IF(COUNTIF($AG$3:$AG$20,C331)&gt;0,$AG$2,
 IF(COUNTIF($AH$3:$AH$20,C331)&gt;0,$AH$2,
 IF(COUNTIF($AI$3:$AI$20,C331)&gt;0,$AI$2,
 IF(COUNTIF($AJ$3:$AJ$20,C331)&gt;0,$AJ$2,
 IF(COUNTIF($AK$3:$AK$20,C331)&gt;0,$AK$2,
 IF(COUNTIF($AL$3:$AL$20,C331)&gt;0,$AL$2,
 IF(COUNTIF($AM$3:$AM$20,C331)&gt;0,$AM$2,"Not Found")))))))</f>
        <v>Not Found</v>
      </c>
      <c r="E331" s="2" t="s">
        <v>10</v>
      </c>
      <c r="F331" s="2" t="s">
        <v>11</v>
      </c>
      <c r="G331" s="2">
        <v>136</v>
      </c>
      <c r="H331" s="2">
        <v>409</v>
      </c>
      <c r="I331" s="2">
        <v>151</v>
      </c>
      <c r="J331" s="2">
        <v>-1667</v>
      </c>
      <c r="K331" s="4">
        <v>0.47099999999999997</v>
      </c>
      <c r="L331" s="4">
        <v>0.22500000000000001</v>
      </c>
      <c r="M331" s="2">
        <v>105</v>
      </c>
      <c r="N331" s="2">
        <v>96.1</v>
      </c>
      <c r="O331" s="2">
        <v>100.9</v>
      </c>
      <c r="P331" s="2">
        <v>111.7</v>
      </c>
      <c r="Q331" s="4">
        <v>0.55000000000000004</v>
      </c>
      <c r="R331" s="4">
        <v>0.51900000000000002</v>
      </c>
      <c r="S331" s="4">
        <v>0.53600000000000003</v>
      </c>
      <c r="T331" s="4">
        <v>0.57999999999999996</v>
      </c>
      <c r="U331" s="19">
        <f>Table2[[#This Row],[NET PF]]/Table2[[#This Row],[HOME GAMES]]</f>
        <v>1.1544117647058822</v>
      </c>
      <c r="V331" s="28">
        <f>393/Table2[[#This Row],[AWAY GAMES]]</f>
        <v>2.6026490066225167</v>
      </c>
      <c r="W331" s="4">
        <v>0.70599999999999996</v>
      </c>
      <c r="X331" s="4">
        <v>0.72</v>
      </c>
      <c r="Y331" s="2">
        <v>157</v>
      </c>
      <c r="Z331" s="2">
        <v>523</v>
      </c>
      <c r="AA331" s="8">
        <f>Table2[[#This Row],[HOME MARGIN]]/Table2[[#This Row],[HOME GAMES]]</f>
        <v>3.0073529411764706</v>
      </c>
      <c r="AB331" s="8">
        <f>Table2[[#This Row],[AWAY MARGIN]]/Table2[[#This Row],[AWAY GAMES]]</f>
        <v>-11.039735099337749</v>
      </c>
      <c r="AC331" s="8">
        <f>Table2[[#This Row],[HOME MARGIN/GAME]]-Table2[[#This Row],[AWAY MARGIN/GAME]]</f>
        <v>14.04708804051422</v>
      </c>
      <c r="AD331" s="23">
        <f>Table2[[#This Row],[HOME W/L%]]-Table2[[#This Row],[AWAY W/L%]]</f>
        <v>0.24599999999999997</v>
      </c>
      <c r="AE331" s="22"/>
      <c r="AF331"/>
    </row>
    <row r="332" spans="1:32" hidden="1" x14ac:dyDescent="0.2">
      <c r="A332" s="1">
        <v>122</v>
      </c>
      <c r="B332" s="1"/>
      <c r="C332" s="2" t="s">
        <v>165</v>
      </c>
      <c r="D332" s="2" t="str">
        <f>IF(COUNTIF($AG$3:$AG$20,C332)&gt;0,$AG$2,
 IF(COUNTIF($AH$3:$AH$20,C332)&gt;0,$AH$2,
 IF(COUNTIF($AI$3:$AI$20,C332)&gt;0,$AI$2,
 IF(COUNTIF($AJ$3:$AJ$20,C332)&gt;0,$AJ$2,
 IF(COUNTIF($AK$3:$AK$20,C332)&gt;0,$AK$2,
 IF(COUNTIF($AL$3:$AL$20,C332)&gt;0,$AL$2,
 IF(COUNTIF($AM$3:$AM$20,C332)&gt;0,$AM$2,"Not Found")))))))</f>
        <v>Not Found</v>
      </c>
      <c r="E332" s="2" t="s">
        <v>10</v>
      </c>
      <c r="F332" s="2" t="s">
        <v>11</v>
      </c>
      <c r="G332" s="2">
        <v>139</v>
      </c>
      <c r="H332" s="2">
        <v>1387</v>
      </c>
      <c r="I332" s="2">
        <v>149</v>
      </c>
      <c r="J332" s="2">
        <v>-490</v>
      </c>
      <c r="K332" s="4">
        <v>0.71899999999999997</v>
      </c>
      <c r="L332" s="4">
        <v>0.36899999999999999</v>
      </c>
      <c r="M332" s="2">
        <v>106.1</v>
      </c>
      <c r="N332" s="2">
        <v>98</v>
      </c>
      <c r="O332" s="2">
        <v>92.3</v>
      </c>
      <c r="P332" s="2">
        <v>102.6</v>
      </c>
      <c r="Q332" s="4">
        <v>0.54200000000000004</v>
      </c>
      <c r="R332" s="4">
        <v>0.51800000000000002</v>
      </c>
      <c r="S332" s="4">
        <v>0.49199999999999999</v>
      </c>
      <c r="T332" s="4">
        <v>0.54100000000000004</v>
      </c>
      <c r="U332" s="19">
        <f>Table2[[#This Row],[NET PF]]/Table2[[#This Row],[HOME GAMES]]</f>
        <v>-0.78417266187050361</v>
      </c>
      <c r="V332" s="28">
        <f>393/Table2[[#This Row],[AWAY GAMES]]</f>
        <v>2.6375838926174495</v>
      </c>
      <c r="W332" s="4">
        <v>0.68100000000000005</v>
      </c>
      <c r="X332" s="4">
        <v>0.70099999999999996</v>
      </c>
      <c r="Y332" s="2">
        <v>-109</v>
      </c>
      <c r="Z332" s="2">
        <v>238</v>
      </c>
      <c r="AA332" s="8">
        <f>Table2[[#This Row],[HOME MARGIN]]/Table2[[#This Row],[HOME GAMES]]</f>
        <v>9.9784172661870496</v>
      </c>
      <c r="AB332" s="8">
        <f>Table2[[#This Row],[AWAY MARGIN]]/Table2[[#This Row],[AWAY GAMES]]</f>
        <v>-3.2885906040268456</v>
      </c>
      <c r="AC332" s="8">
        <f>Table2[[#This Row],[HOME MARGIN/GAME]]-Table2[[#This Row],[AWAY MARGIN/GAME]]</f>
        <v>13.267007870213895</v>
      </c>
      <c r="AD332" s="23">
        <f>Table2[[#This Row],[HOME W/L%]]-Table2[[#This Row],[AWAY W/L%]]</f>
        <v>0.35</v>
      </c>
      <c r="AE332" s="22"/>
      <c r="AF332"/>
    </row>
    <row r="333" spans="1:32" hidden="1" x14ac:dyDescent="0.2">
      <c r="A333" s="1">
        <v>195</v>
      </c>
      <c r="B333" s="1"/>
      <c r="C333" s="2" t="s">
        <v>276</v>
      </c>
      <c r="D333" s="2" t="str">
        <f>IF(COUNTIF($AG$3:$AG$20,C333)&gt;0,$AG$2,
 IF(COUNTIF($AH$3:$AH$20,C333)&gt;0,$AH$2,
 IF(COUNTIF($AI$3:$AI$20,C333)&gt;0,$AI$2,
 IF(COUNTIF($AJ$3:$AJ$20,C333)&gt;0,$AJ$2,
 IF(COUNTIF($AK$3:$AK$20,C333)&gt;0,$AK$2,
 IF(COUNTIF($AL$3:$AL$20,C333)&gt;0,$AL$2,
 IF(COUNTIF($AM$3:$AM$20,C333)&gt;0,$AM$2,"Not Found")))))))</f>
        <v>Not Found</v>
      </c>
      <c r="E333" s="2" t="s">
        <v>10</v>
      </c>
      <c r="F333" s="2" t="s">
        <v>11</v>
      </c>
      <c r="G333" s="2">
        <v>137</v>
      </c>
      <c r="H333" s="2">
        <v>1002</v>
      </c>
      <c r="I333" s="2">
        <v>152</v>
      </c>
      <c r="J333" s="2">
        <v>-1218</v>
      </c>
      <c r="K333" s="4">
        <v>0.65700000000000003</v>
      </c>
      <c r="L333" s="4">
        <v>0.28899999999999998</v>
      </c>
      <c r="M333" s="2">
        <v>109.4</v>
      </c>
      <c r="N333" s="2">
        <v>98</v>
      </c>
      <c r="O333" s="2">
        <v>99.3</v>
      </c>
      <c r="P333" s="2">
        <v>109.1</v>
      </c>
      <c r="Q333" s="4">
        <v>0.56000000000000005</v>
      </c>
      <c r="R333" s="4">
        <v>0.52</v>
      </c>
      <c r="S333" s="4">
        <v>0.52400000000000002</v>
      </c>
      <c r="T333" s="4">
        <v>0.56399999999999995</v>
      </c>
      <c r="U333" s="19">
        <f>Table2[[#This Row],[NET PF]]/Table2[[#This Row],[HOME GAMES]]</f>
        <v>-1.635036496350365</v>
      </c>
      <c r="V333" s="28">
        <f>393/Table2[[#This Row],[AWAY GAMES]]</f>
        <v>2.5855263157894739</v>
      </c>
      <c r="W333" s="4">
        <v>0.68500000000000005</v>
      </c>
      <c r="X333" s="4">
        <v>0.71699999999999997</v>
      </c>
      <c r="Y333" s="2">
        <v>-224</v>
      </c>
      <c r="Z333" s="2">
        <v>264</v>
      </c>
      <c r="AA333" s="8">
        <f>Table2[[#This Row],[HOME MARGIN]]/Table2[[#This Row],[HOME GAMES]]</f>
        <v>7.3138686131386859</v>
      </c>
      <c r="AB333" s="8">
        <f>Table2[[#This Row],[AWAY MARGIN]]/Table2[[#This Row],[AWAY GAMES]]</f>
        <v>-8.0131578947368425</v>
      </c>
      <c r="AC333" s="8">
        <f>Table2[[#This Row],[HOME MARGIN/GAME]]-Table2[[#This Row],[AWAY MARGIN/GAME]]</f>
        <v>15.327026507875528</v>
      </c>
      <c r="AD333" s="23">
        <f>Table2[[#This Row],[HOME W/L%]]-Table2[[#This Row],[AWAY W/L%]]</f>
        <v>0.36800000000000005</v>
      </c>
      <c r="AE333" s="22"/>
      <c r="AF333"/>
    </row>
    <row r="334" spans="1:32" x14ac:dyDescent="0.2">
      <c r="A334" s="1">
        <v>40</v>
      </c>
      <c r="B334" s="1">
        <v>22</v>
      </c>
      <c r="C334" s="2" t="s">
        <v>205</v>
      </c>
      <c r="D334" s="2" t="str">
        <f>IF(COUNTIF($AG$3:$AG$20,C334)&gt;0,$AG$2,
 IF(COUNTIF($AH$3:$AH$20,C334)&gt;0,$AH$2,
 IF(COUNTIF($AI$3:$AI$20,C334)&gt;0,$AI$2,
 IF(COUNTIF($AJ$3:$AJ$20,C334)&gt;0,$AJ$2,
 IF(COUNTIF($AK$3:$AK$20,C334)&gt;0,$AK$2,
 IF(COUNTIF($AL$3:$AL$20,C334)&gt;0,$AL$2,
 IF(COUNTIF($AM$3:$AM$20,C334)&gt;0,$AM$2,"Not Found")))))))</f>
        <v>Big 12</v>
      </c>
      <c r="E334" s="2" t="s">
        <v>10</v>
      </c>
      <c r="F334" s="2" t="s">
        <v>11</v>
      </c>
      <c r="G334" s="2">
        <v>160</v>
      </c>
      <c r="H334" s="2">
        <v>2023</v>
      </c>
      <c r="I334" s="2">
        <v>107</v>
      </c>
      <c r="J334" s="2">
        <v>-622</v>
      </c>
      <c r="K334" s="4">
        <v>0.75600000000000001</v>
      </c>
      <c r="L334" s="4">
        <v>0.318</v>
      </c>
      <c r="M334" s="2">
        <v>111.3</v>
      </c>
      <c r="N334" s="2">
        <v>99</v>
      </c>
      <c r="O334" s="2">
        <v>93.5</v>
      </c>
      <c r="P334" s="2">
        <v>107.4</v>
      </c>
      <c r="Q334" s="4">
        <v>0.57799999999999996</v>
      </c>
      <c r="R334" s="4">
        <v>0.52800000000000002</v>
      </c>
      <c r="S334" s="4">
        <v>0.48899999999999999</v>
      </c>
      <c r="T334" s="4">
        <v>0.55200000000000005</v>
      </c>
      <c r="U334" s="19">
        <f>Table2[[#This Row],[NET PF]]/Table2[[#This Row],[HOME GAMES]]</f>
        <v>-2.9437500000000001</v>
      </c>
      <c r="V334" s="28">
        <f>393/Table2[[#This Row],[AWAY GAMES]]</f>
        <v>3.6728971962616823</v>
      </c>
      <c r="W334" s="4">
        <v>0.69599999999999995</v>
      </c>
      <c r="X334" s="4">
        <v>0.71199999999999997</v>
      </c>
      <c r="Y334" s="2">
        <v>-471</v>
      </c>
      <c r="Z334" s="2">
        <v>16</v>
      </c>
      <c r="AA334" s="8">
        <f>Table2[[#This Row],[HOME MARGIN]]/Table2[[#This Row],[HOME GAMES]]</f>
        <v>12.643750000000001</v>
      </c>
      <c r="AB334" s="8">
        <f>Table2[[#This Row],[AWAY MARGIN]]/Table2[[#This Row],[AWAY GAMES]]</f>
        <v>-5.8130841121495331</v>
      </c>
      <c r="AC334" s="8">
        <f>Table2[[#This Row],[HOME MARGIN/GAME]]-Table2[[#This Row],[AWAY MARGIN/GAME]]</f>
        <v>18.456834112149533</v>
      </c>
      <c r="AD334" s="23">
        <f>Table2[[#This Row],[HOME W/L%]]-Table2[[#This Row],[AWAY W/L%]]</f>
        <v>0.438</v>
      </c>
      <c r="AE334" s="22"/>
      <c r="AF334"/>
    </row>
    <row r="335" spans="1:32" hidden="1" x14ac:dyDescent="0.2">
      <c r="A335" s="1">
        <v>21</v>
      </c>
      <c r="B335" s="1"/>
      <c r="C335" s="2" t="s">
        <v>68</v>
      </c>
      <c r="D335" s="2" t="str">
        <f>IF(COUNTIF($AG$3:$AG$20,C335)&gt;0,$AG$2,
 IF(COUNTIF($AH$3:$AH$20,C335)&gt;0,$AH$2,
 IF(COUNTIF($AI$3:$AI$20,C335)&gt;0,$AI$2,
 IF(COUNTIF($AJ$3:$AJ$20,C335)&gt;0,$AJ$2,
 IF(COUNTIF($AK$3:$AK$20,C335)&gt;0,$AK$2,
 IF(COUNTIF($AL$3:$AL$20,C335)&gt;0,$AL$2,
 IF(COUNTIF($AM$3:$AM$20,C335)&gt;0,$AM$2,"Not Found")))))))</f>
        <v>Not Found</v>
      </c>
      <c r="E335" s="2" t="s">
        <v>10</v>
      </c>
      <c r="F335" s="2" t="s">
        <v>11</v>
      </c>
      <c r="G335" s="2">
        <v>152</v>
      </c>
      <c r="H335" s="2">
        <v>2226</v>
      </c>
      <c r="I335" s="2">
        <v>113</v>
      </c>
      <c r="J335" s="2">
        <v>-80</v>
      </c>
      <c r="K335" s="4">
        <v>0.80300000000000005</v>
      </c>
      <c r="L335" s="4">
        <v>0.46899999999999997</v>
      </c>
      <c r="M335" s="2">
        <v>113.5</v>
      </c>
      <c r="N335" s="2">
        <v>103.8</v>
      </c>
      <c r="O335" s="2">
        <v>92.8</v>
      </c>
      <c r="P335" s="2">
        <v>104.8</v>
      </c>
      <c r="Q335" s="4">
        <v>0.59</v>
      </c>
      <c r="R335" s="4">
        <v>0.55000000000000004</v>
      </c>
      <c r="S335" s="4">
        <v>0.504</v>
      </c>
      <c r="T335" s="4">
        <v>0.55200000000000005</v>
      </c>
      <c r="U335" s="19">
        <f>Table2[[#This Row],[NET PF]]/Table2[[#This Row],[HOME GAMES]]</f>
        <v>-2.4210526315789473</v>
      </c>
      <c r="V335" s="28">
        <f>393/Table2[[#This Row],[AWAY GAMES]]</f>
        <v>3.4778761061946901</v>
      </c>
      <c r="W335" s="4">
        <v>0.69199999999999995</v>
      </c>
      <c r="X335" s="4">
        <v>0.73899999999999999</v>
      </c>
      <c r="Y335" s="2">
        <v>-368</v>
      </c>
      <c r="Z335" s="2">
        <v>143</v>
      </c>
      <c r="AA335" s="8">
        <f>Table2[[#This Row],[HOME MARGIN]]/Table2[[#This Row],[HOME GAMES]]</f>
        <v>14.644736842105264</v>
      </c>
      <c r="AB335" s="8">
        <f>Table2[[#This Row],[AWAY MARGIN]]/Table2[[#This Row],[AWAY GAMES]]</f>
        <v>-0.70796460176991149</v>
      </c>
      <c r="AC335" s="8">
        <f>Table2[[#This Row],[HOME MARGIN/GAME]]-Table2[[#This Row],[AWAY MARGIN/GAME]]</f>
        <v>15.352701443875175</v>
      </c>
      <c r="AD335" s="23">
        <f>Table2[[#This Row],[HOME W/L%]]-Table2[[#This Row],[AWAY W/L%]]</f>
        <v>0.33400000000000007</v>
      </c>
      <c r="AE335" s="22"/>
      <c r="AF335"/>
    </row>
    <row r="336" spans="1:32" hidden="1" x14ac:dyDescent="0.2">
      <c r="A336" s="1">
        <v>325</v>
      </c>
      <c r="B336" s="1"/>
      <c r="C336" s="2" t="s">
        <v>357</v>
      </c>
      <c r="D336" s="2" t="str">
        <f>IF(COUNTIF($AG$3:$AG$20,C336)&gt;0,$AG$2,
 IF(COUNTIF($AH$3:$AH$20,C336)&gt;0,$AH$2,
 IF(COUNTIF($AI$3:$AI$20,C336)&gt;0,$AI$2,
 IF(COUNTIF($AJ$3:$AJ$20,C336)&gt;0,$AJ$2,
 IF(COUNTIF($AK$3:$AK$20,C336)&gt;0,$AK$2,
 IF(COUNTIF($AL$3:$AL$20,C336)&gt;0,$AL$2,
 IF(COUNTIF($AM$3:$AM$20,C336)&gt;0,$AM$2,"Not Found")))))))</f>
        <v>Not Found</v>
      </c>
      <c r="E336" s="2" t="s">
        <v>73</v>
      </c>
      <c r="F336" s="2" t="s">
        <v>11</v>
      </c>
      <c r="G336" s="2">
        <v>68</v>
      </c>
      <c r="H336" s="2">
        <v>291</v>
      </c>
      <c r="I336" s="2">
        <v>73</v>
      </c>
      <c r="J336" s="2">
        <v>-788</v>
      </c>
      <c r="K336" s="4">
        <v>0.51500000000000001</v>
      </c>
      <c r="L336" s="4">
        <v>0.192</v>
      </c>
      <c r="M336" s="2">
        <v>102.3</v>
      </c>
      <c r="N336" s="2">
        <v>94</v>
      </c>
      <c r="O336" s="2">
        <v>96.5</v>
      </c>
      <c r="P336" s="2">
        <v>108.7</v>
      </c>
      <c r="Q336" s="4">
        <v>0.54800000000000004</v>
      </c>
      <c r="R336" s="4">
        <v>0.51500000000000001</v>
      </c>
      <c r="S336" s="4">
        <v>0.51100000000000001</v>
      </c>
      <c r="T336" s="4">
        <v>0.57599999999999996</v>
      </c>
      <c r="U336" s="19">
        <f>Table2[[#This Row],[NET PF]]/Table2[[#This Row],[HOME GAMES]]</f>
        <v>-0.22058823529411764</v>
      </c>
      <c r="V336" s="28">
        <f>393/Table2[[#This Row],[AWAY GAMES]]</f>
        <v>5.3835616438356162</v>
      </c>
      <c r="W336" s="4">
        <v>0.68500000000000005</v>
      </c>
      <c r="X336" s="4">
        <v>0.73099999999999998</v>
      </c>
      <c r="Y336" s="2">
        <v>-15</v>
      </c>
      <c r="Z336" s="2">
        <v>63</v>
      </c>
      <c r="AA336" s="8">
        <f>Table2[[#This Row],[HOME MARGIN]]/Table2[[#This Row],[HOME GAMES]]</f>
        <v>4.2794117647058822</v>
      </c>
      <c r="AB336" s="8">
        <f>Table2[[#This Row],[AWAY MARGIN]]/Table2[[#This Row],[AWAY GAMES]]</f>
        <v>-10.794520547945206</v>
      </c>
      <c r="AC336" s="8">
        <f>Table2[[#This Row],[HOME MARGIN/GAME]]-Table2[[#This Row],[AWAY MARGIN/GAME]]</f>
        <v>15.073932312651088</v>
      </c>
      <c r="AD336" s="23">
        <f>Table2[[#This Row],[HOME W/L%]]-Table2[[#This Row],[AWAY W/L%]]</f>
        <v>0.32300000000000001</v>
      </c>
      <c r="AE336" s="22"/>
      <c r="AF336"/>
    </row>
    <row r="337" spans="1:32" hidden="1" x14ac:dyDescent="0.2">
      <c r="A337" s="1">
        <v>85</v>
      </c>
      <c r="B337" s="1"/>
      <c r="C337" s="2" t="s">
        <v>134</v>
      </c>
      <c r="D337" s="2" t="str">
        <f>IF(COUNTIF($AG$3:$AG$20,C337)&gt;0,$AG$2,
 IF(COUNTIF($AH$3:$AH$20,C337)&gt;0,$AH$2,
 IF(COUNTIF($AI$3:$AI$20,C337)&gt;0,$AI$2,
 IF(COUNTIF($AJ$3:$AJ$20,C337)&gt;0,$AJ$2,
 IF(COUNTIF($AK$3:$AK$20,C337)&gt;0,$AK$2,
 IF(COUNTIF($AL$3:$AL$20,C337)&gt;0,$AL$2,
 IF(COUNTIF($AM$3:$AM$20,C337)&gt;0,$AM$2,"Not Found")))))))</f>
        <v>Not Found</v>
      </c>
      <c r="E337" s="2" t="s">
        <v>10</v>
      </c>
      <c r="F337" s="2" t="s">
        <v>11</v>
      </c>
      <c r="G337" s="2">
        <v>135</v>
      </c>
      <c r="H337" s="2">
        <v>1617</v>
      </c>
      <c r="I337" s="2">
        <v>146</v>
      </c>
      <c r="J337" s="2">
        <v>-363</v>
      </c>
      <c r="K337" s="4">
        <v>0.76300000000000001</v>
      </c>
      <c r="L337" s="4">
        <v>0.438</v>
      </c>
      <c r="M337" s="2">
        <v>108.5</v>
      </c>
      <c r="N337" s="2">
        <v>97.3</v>
      </c>
      <c r="O337" s="2">
        <v>92.1</v>
      </c>
      <c r="P337" s="2">
        <v>100.8</v>
      </c>
      <c r="Q337" s="4">
        <v>0.57899999999999996</v>
      </c>
      <c r="R337" s="4">
        <v>0.52600000000000002</v>
      </c>
      <c r="S337" s="4">
        <v>0.48799999999999999</v>
      </c>
      <c r="T337" s="4">
        <v>0.52200000000000002</v>
      </c>
      <c r="U337" s="19">
        <f>Table2[[#This Row],[NET PF]]/Table2[[#This Row],[HOME GAMES]]</f>
        <v>-2.9333333333333331</v>
      </c>
      <c r="V337" s="28">
        <f>393/Table2[[#This Row],[AWAY GAMES]]</f>
        <v>2.6917808219178081</v>
      </c>
      <c r="W337" s="4">
        <v>0.69499999999999995</v>
      </c>
      <c r="X337" s="4">
        <v>0.70399999999999996</v>
      </c>
      <c r="Y337" s="2">
        <v>-396</v>
      </c>
      <c r="Z337" s="2">
        <v>-2</v>
      </c>
      <c r="AA337" s="8">
        <f>Table2[[#This Row],[HOME MARGIN]]/Table2[[#This Row],[HOME GAMES]]</f>
        <v>11.977777777777778</v>
      </c>
      <c r="AB337" s="8">
        <f>Table2[[#This Row],[AWAY MARGIN]]/Table2[[#This Row],[AWAY GAMES]]</f>
        <v>-2.4863013698630136</v>
      </c>
      <c r="AC337" s="8">
        <f>Table2[[#This Row],[HOME MARGIN/GAME]]-Table2[[#This Row],[AWAY MARGIN/GAME]]</f>
        <v>14.464079147640792</v>
      </c>
      <c r="AD337" s="23">
        <f>Table2[[#This Row],[HOME W/L%]]-Table2[[#This Row],[AWAY W/L%]]</f>
        <v>0.32500000000000001</v>
      </c>
      <c r="AE337" s="22"/>
      <c r="AF337"/>
    </row>
    <row r="338" spans="1:32" hidden="1" x14ac:dyDescent="0.2">
      <c r="A338" s="1">
        <v>184</v>
      </c>
      <c r="B338" s="1"/>
      <c r="C338" s="2" t="s">
        <v>350</v>
      </c>
      <c r="D338" s="2" t="str">
        <f>IF(COUNTIF($AG$3:$AG$20,C338)&gt;0,$AG$2,
 IF(COUNTIF($AH$3:$AH$20,C338)&gt;0,$AH$2,
 IF(COUNTIF($AI$3:$AI$20,C338)&gt;0,$AI$2,
 IF(COUNTIF($AJ$3:$AJ$20,C338)&gt;0,$AJ$2,
 IF(COUNTIF($AK$3:$AK$20,C338)&gt;0,$AK$2,
 IF(COUNTIF($AL$3:$AL$20,C338)&gt;0,$AL$2,
 IF(COUNTIF($AM$3:$AM$20,C338)&gt;0,$AM$2,"Not Found")))))))</f>
        <v>Not Found</v>
      </c>
      <c r="E338" s="2" t="s">
        <v>10</v>
      </c>
      <c r="F338" s="2" t="s">
        <v>11</v>
      </c>
      <c r="G338" s="2">
        <v>164</v>
      </c>
      <c r="H338" s="2">
        <v>1063</v>
      </c>
      <c r="I338" s="2">
        <v>117</v>
      </c>
      <c r="J338" s="2">
        <v>-798</v>
      </c>
      <c r="K338" s="4">
        <v>0.65900000000000003</v>
      </c>
      <c r="L338" s="4">
        <v>0.25600000000000001</v>
      </c>
      <c r="M338" s="2">
        <v>101.4</v>
      </c>
      <c r="N338" s="2">
        <v>94.3</v>
      </c>
      <c r="O338" s="2">
        <v>92.3</v>
      </c>
      <c r="P338" s="2">
        <v>103.9</v>
      </c>
      <c r="Q338" s="4">
        <v>0.54400000000000004</v>
      </c>
      <c r="R338" s="4">
        <v>0.51400000000000001</v>
      </c>
      <c r="S338" s="4">
        <v>0.51100000000000001</v>
      </c>
      <c r="T338" s="4">
        <v>0.55500000000000005</v>
      </c>
      <c r="U338" s="19">
        <f>Table2[[#This Row],[NET PF]]/Table2[[#This Row],[HOME GAMES]]</f>
        <v>-1.4695121951219512</v>
      </c>
      <c r="V338" s="28">
        <f>393/Table2[[#This Row],[AWAY GAMES]]</f>
        <v>3.358974358974359</v>
      </c>
      <c r="W338" s="4">
        <v>0.67</v>
      </c>
      <c r="X338" s="4">
        <v>0.69899999999999995</v>
      </c>
      <c r="Y338" s="2">
        <v>-241</v>
      </c>
      <c r="Z338" s="2">
        <v>339</v>
      </c>
      <c r="AA338" s="8">
        <f>Table2[[#This Row],[HOME MARGIN]]/Table2[[#This Row],[HOME GAMES]]</f>
        <v>6.4817073170731705</v>
      </c>
      <c r="AB338" s="8">
        <f>Table2[[#This Row],[AWAY MARGIN]]/Table2[[#This Row],[AWAY GAMES]]</f>
        <v>-6.8205128205128203</v>
      </c>
      <c r="AC338" s="8">
        <f>Table2[[#This Row],[HOME MARGIN/GAME]]-Table2[[#This Row],[AWAY MARGIN/GAME]]</f>
        <v>13.302220137585991</v>
      </c>
      <c r="AD338" s="23">
        <f>Table2[[#This Row],[HOME W/L%]]-Table2[[#This Row],[AWAY W/L%]]</f>
        <v>0.40300000000000002</v>
      </c>
      <c r="AE338" s="22"/>
      <c r="AF338"/>
    </row>
    <row r="339" spans="1:32" hidden="1" x14ac:dyDescent="0.2">
      <c r="A339" s="1">
        <v>213</v>
      </c>
      <c r="B339" s="1"/>
      <c r="C339" s="2" t="s">
        <v>257</v>
      </c>
      <c r="D339" s="2" t="str">
        <f>IF(COUNTIF($AG$3:$AG$20,C339)&gt;0,$AG$2,
 IF(COUNTIF($AH$3:$AH$20,C339)&gt;0,$AH$2,
 IF(COUNTIF($AI$3:$AI$20,C339)&gt;0,$AI$2,
 IF(COUNTIF($AJ$3:$AJ$20,C339)&gt;0,$AJ$2,
 IF(COUNTIF($AK$3:$AK$20,C339)&gt;0,$AK$2,
 IF(COUNTIF($AL$3:$AL$20,C339)&gt;0,$AL$2,
 IF(COUNTIF($AM$3:$AM$20,C339)&gt;0,$AM$2,"Not Found")))))))</f>
        <v>Not Found</v>
      </c>
      <c r="E339" s="2" t="s">
        <v>10</v>
      </c>
      <c r="F339" s="2" t="s">
        <v>11</v>
      </c>
      <c r="G339" s="2">
        <v>152</v>
      </c>
      <c r="H339" s="2">
        <v>915</v>
      </c>
      <c r="I339" s="2">
        <v>135</v>
      </c>
      <c r="J339" s="2">
        <v>-1424</v>
      </c>
      <c r="K339" s="4">
        <v>0.58599999999999997</v>
      </c>
      <c r="L339" s="4">
        <v>0.222</v>
      </c>
      <c r="M339" s="2">
        <v>104.3</v>
      </c>
      <c r="N339" s="2">
        <v>97.2</v>
      </c>
      <c r="O339" s="2">
        <v>96.1</v>
      </c>
      <c r="P339" s="2">
        <v>111.5</v>
      </c>
      <c r="Q339" s="4">
        <v>0.53300000000000003</v>
      </c>
      <c r="R339" s="4">
        <v>0.504</v>
      </c>
      <c r="S339" s="4">
        <v>0.51100000000000001</v>
      </c>
      <c r="T339" s="4">
        <v>0.58399999999999996</v>
      </c>
      <c r="U339" s="19">
        <f>Table2[[#This Row],[NET PF]]/Table2[[#This Row],[HOME GAMES]]</f>
        <v>-0.15131578947368421</v>
      </c>
      <c r="V339" s="28">
        <f>393/Table2[[#This Row],[AWAY GAMES]]</f>
        <v>2.911111111111111</v>
      </c>
      <c r="W339" s="4">
        <v>0.66400000000000003</v>
      </c>
      <c r="X339" s="4">
        <v>0.71799999999999997</v>
      </c>
      <c r="Y339" s="2">
        <v>-23</v>
      </c>
      <c r="Z339" s="2">
        <v>377</v>
      </c>
      <c r="AA339" s="8">
        <f>Table2[[#This Row],[HOME MARGIN]]/Table2[[#This Row],[HOME GAMES]]</f>
        <v>6.0197368421052628</v>
      </c>
      <c r="AB339" s="8">
        <f>Table2[[#This Row],[AWAY MARGIN]]/Table2[[#This Row],[AWAY GAMES]]</f>
        <v>-10.548148148148147</v>
      </c>
      <c r="AC339" s="8">
        <f>Table2[[#This Row],[HOME MARGIN/GAME]]-Table2[[#This Row],[AWAY MARGIN/GAME]]</f>
        <v>16.567884990253411</v>
      </c>
      <c r="AD339" s="23">
        <f>Table2[[#This Row],[HOME W/L%]]-Table2[[#This Row],[AWAY W/L%]]</f>
        <v>0.36399999999999999</v>
      </c>
      <c r="AE339" s="22"/>
      <c r="AF339"/>
    </row>
    <row r="340" spans="1:32" hidden="1" x14ac:dyDescent="0.2">
      <c r="A340" s="1">
        <v>198</v>
      </c>
      <c r="B340" s="1"/>
      <c r="C340" s="2" t="s">
        <v>215</v>
      </c>
      <c r="D340" s="2" t="str">
        <f>IF(COUNTIF($AG$3:$AG$20,C340)&gt;0,$AG$2,
 IF(COUNTIF($AH$3:$AH$20,C340)&gt;0,$AH$2,
 IF(COUNTIF($AI$3:$AI$20,C340)&gt;0,$AI$2,
 IF(COUNTIF($AJ$3:$AJ$20,C340)&gt;0,$AJ$2,
 IF(COUNTIF($AK$3:$AK$20,C340)&gt;0,$AK$2,
 IF(COUNTIF($AL$3:$AL$20,C340)&gt;0,$AL$2,
 IF(COUNTIF($AM$3:$AM$20,C340)&gt;0,$AM$2,"Not Found")))))))</f>
        <v>Not Found</v>
      </c>
      <c r="E340" s="2" t="s">
        <v>10</v>
      </c>
      <c r="F340" s="2" t="s">
        <v>11</v>
      </c>
      <c r="G340" s="2">
        <v>149</v>
      </c>
      <c r="H340" s="2">
        <v>995</v>
      </c>
      <c r="I340" s="2">
        <v>137</v>
      </c>
      <c r="J340" s="2">
        <v>-654</v>
      </c>
      <c r="K340" s="4">
        <v>0.63100000000000001</v>
      </c>
      <c r="L340" s="4">
        <v>0.32100000000000001</v>
      </c>
      <c r="M340" s="2">
        <v>104.4</v>
      </c>
      <c r="N340" s="2">
        <v>97.6</v>
      </c>
      <c r="O340" s="2">
        <v>95</v>
      </c>
      <c r="P340" s="2">
        <v>104.4</v>
      </c>
      <c r="Q340" s="4">
        <v>0.55300000000000005</v>
      </c>
      <c r="R340" s="4">
        <v>0.52</v>
      </c>
      <c r="S340" s="4">
        <v>0.51300000000000001</v>
      </c>
      <c r="T340" s="4">
        <v>0.55200000000000005</v>
      </c>
      <c r="U340" s="19">
        <f>Table2[[#This Row],[NET PF]]/Table2[[#This Row],[HOME GAMES]]</f>
        <v>-2.0201342281879193</v>
      </c>
      <c r="V340" s="28">
        <f>393/Table2[[#This Row],[AWAY GAMES]]</f>
        <v>2.8686131386861313</v>
      </c>
      <c r="W340" s="4">
        <v>0.69399999999999995</v>
      </c>
      <c r="X340" s="4">
        <v>0.70799999999999996</v>
      </c>
      <c r="Y340" s="2">
        <v>-301</v>
      </c>
      <c r="Z340" s="2">
        <v>382</v>
      </c>
      <c r="AA340" s="8">
        <f>Table2[[#This Row],[HOME MARGIN]]/Table2[[#This Row],[HOME GAMES]]</f>
        <v>6.6778523489932882</v>
      </c>
      <c r="AB340" s="8">
        <f>Table2[[#This Row],[AWAY MARGIN]]/Table2[[#This Row],[AWAY GAMES]]</f>
        <v>-4.773722627737226</v>
      </c>
      <c r="AC340" s="8">
        <f>Table2[[#This Row],[HOME MARGIN/GAME]]-Table2[[#This Row],[AWAY MARGIN/GAME]]</f>
        <v>11.451574976730514</v>
      </c>
      <c r="AD340" s="23">
        <f>Table2[[#This Row],[HOME W/L%]]-Table2[[#This Row],[AWAY W/L%]]</f>
        <v>0.31</v>
      </c>
      <c r="AE340" s="22"/>
      <c r="AF340"/>
    </row>
    <row r="341" spans="1:32" x14ac:dyDescent="0.2">
      <c r="A341" s="1">
        <v>216</v>
      </c>
      <c r="B341" s="1">
        <v>72</v>
      </c>
      <c r="C341" s="2" t="s">
        <v>368</v>
      </c>
      <c r="D341" s="2" t="str">
        <f>IF(COUNTIF($AG$3:$AG$20,C341)&gt;0,$AG$2,
 IF(COUNTIF($AH$3:$AH$20,C341)&gt;0,$AH$2,
 IF(COUNTIF($AI$3:$AI$20,C341)&gt;0,$AI$2,
 IF(COUNTIF($AJ$3:$AJ$20,C341)&gt;0,$AJ$2,
 IF(COUNTIF($AK$3:$AK$20,C341)&gt;0,$AK$2,
 IF(COUNTIF($AL$3:$AL$20,C341)&gt;0,$AL$2,
 IF(COUNTIF($AM$3:$AM$20,C341)&gt;0,$AM$2,"Not Found")))))))</f>
        <v>SEC</v>
      </c>
      <c r="E341" s="2" t="s">
        <v>10</v>
      </c>
      <c r="F341" s="2" t="s">
        <v>11</v>
      </c>
      <c r="G341" s="2">
        <v>170</v>
      </c>
      <c r="H341" s="2">
        <v>905</v>
      </c>
      <c r="I341" s="2">
        <v>108</v>
      </c>
      <c r="J341" s="2">
        <v>-720</v>
      </c>
      <c r="K341" s="4">
        <v>0.60599999999999998</v>
      </c>
      <c r="L341" s="4">
        <v>0.25</v>
      </c>
      <c r="M341" s="2">
        <v>107.7</v>
      </c>
      <c r="N341" s="2">
        <v>98</v>
      </c>
      <c r="O341" s="2">
        <v>100.1</v>
      </c>
      <c r="P341" s="2">
        <v>107.5</v>
      </c>
      <c r="Q341" s="4">
        <v>0.55700000000000005</v>
      </c>
      <c r="R341" s="4">
        <v>0.52300000000000002</v>
      </c>
      <c r="S341" s="4">
        <v>0.52800000000000002</v>
      </c>
      <c r="T341" s="4">
        <v>0.54900000000000004</v>
      </c>
      <c r="U341" s="19">
        <f>Table2[[#This Row],[NET PF]]/Table2[[#This Row],[HOME GAMES]]</f>
        <v>-2.2705882352941176</v>
      </c>
      <c r="V341" s="28">
        <f>393/Table2[[#This Row],[AWAY GAMES]]</f>
        <v>3.6388888888888888</v>
      </c>
      <c r="W341" s="4">
        <v>0.72599999999999998</v>
      </c>
      <c r="X341" s="4">
        <v>0.71699999999999997</v>
      </c>
      <c r="Y341" s="2">
        <v>-386</v>
      </c>
      <c r="Z341" s="2">
        <v>194</v>
      </c>
      <c r="AA341" s="8">
        <f>Table2[[#This Row],[HOME MARGIN]]/Table2[[#This Row],[HOME GAMES]]</f>
        <v>5.3235294117647056</v>
      </c>
      <c r="AB341" s="8">
        <f>Table2[[#This Row],[AWAY MARGIN]]/Table2[[#This Row],[AWAY GAMES]]</f>
        <v>-6.666666666666667</v>
      </c>
      <c r="AC341" s="8">
        <f>Table2[[#This Row],[HOME MARGIN/GAME]]-Table2[[#This Row],[AWAY MARGIN/GAME]]</f>
        <v>11.990196078431373</v>
      </c>
      <c r="AD341" s="23">
        <f>Table2[[#This Row],[HOME W/L%]]-Table2[[#This Row],[AWAY W/L%]]</f>
        <v>0.35599999999999998</v>
      </c>
      <c r="AE341" s="22"/>
      <c r="AF341"/>
    </row>
    <row r="342" spans="1:32" hidden="1" x14ac:dyDescent="0.2">
      <c r="A342" s="1">
        <v>37</v>
      </c>
      <c r="B342" s="1"/>
      <c r="C342" s="2" t="s">
        <v>27</v>
      </c>
      <c r="D342" s="2" t="str">
        <f>IF(COUNTIF($AG$3:$AG$20,C342)&gt;0,$AG$2,
 IF(COUNTIF($AH$3:$AH$20,C342)&gt;0,$AH$2,
 IF(COUNTIF($AI$3:$AI$20,C342)&gt;0,$AI$2,
 IF(COUNTIF($AJ$3:$AJ$20,C342)&gt;0,$AJ$2,
 IF(COUNTIF($AK$3:$AK$20,C342)&gt;0,$AK$2,
 IF(COUNTIF($AL$3:$AL$20,C342)&gt;0,$AL$2,
 IF(COUNTIF($AM$3:$AM$20,C342)&gt;0,$AM$2,"Not Found")))))))</f>
        <v>Not Found</v>
      </c>
      <c r="E342" s="2" t="s">
        <v>10</v>
      </c>
      <c r="F342" s="2" t="s">
        <v>11</v>
      </c>
      <c r="G342" s="2">
        <v>166</v>
      </c>
      <c r="H342" s="2">
        <v>2051</v>
      </c>
      <c r="I342" s="2">
        <v>104</v>
      </c>
      <c r="J342" s="2">
        <v>227</v>
      </c>
      <c r="K342" s="4">
        <v>0.81299999999999994</v>
      </c>
      <c r="L342" s="4">
        <v>0.625</v>
      </c>
      <c r="M342" s="2">
        <v>107.4</v>
      </c>
      <c r="N342" s="2">
        <v>100.1</v>
      </c>
      <c r="O342" s="2">
        <v>89.8</v>
      </c>
      <c r="P342" s="2">
        <v>97</v>
      </c>
      <c r="Q342" s="4">
        <v>0.56000000000000005</v>
      </c>
      <c r="R342" s="4">
        <v>0.53200000000000003</v>
      </c>
      <c r="S342" s="4">
        <v>0.495</v>
      </c>
      <c r="T342" s="4">
        <v>0.52500000000000002</v>
      </c>
      <c r="U342" s="19">
        <f>Table2[[#This Row],[NET PF]]/Table2[[#This Row],[HOME GAMES]]</f>
        <v>-1.2590361445783131</v>
      </c>
      <c r="V342" s="28">
        <f>393/Table2[[#This Row],[AWAY GAMES]]</f>
        <v>3.7788461538461537</v>
      </c>
      <c r="W342" s="4">
        <v>0.68799999999999994</v>
      </c>
      <c r="X342" s="4">
        <v>0.72099999999999997</v>
      </c>
      <c r="Y342" s="2">
        <v>-209</v>
      </c>
      <c r="Z342" s="2">
        <v>248</v>
      </c>
      <c r="AA342" s="8">
        <f>Table2[[#This Row],[HOME MARGIN]]/Table2[[#This Row],[HOME GAMES]]</f>
        <v>12.355421686746988</v>
      </c>
      <c r="AB342" s="8">
        <f>Table2[[#This Row],[AWAY MARGIN]]/Table2[[#This Row],[AWAY GAMES]]</f>
        <v>2.1826923076923075</v>
      </c>
      <c r="AC342" s="8">
        <f>Table2[[#This Row],[HOME MARGIN/GAME]]-Table2[[#This Row],[AWAY MARGIN/GAME]]</f>
        <v>10.17272937905468</v>
      </c>
      <c r="AD342" s="23">
        <f>Table2[[#This Row],[HOME W/L%]]-Table2[[#This Row],[AWAY W/L%]]</f>
        <v>0.18799999999999994</v>
      </c>
      <c r="AE342" s="22"/>
      <c r="AF342"/>
    </row>
    <row r="343" spans="1:32" hidden="1" x14ac:dyDescent="0.2">
      <c r="A343" s="1">
        <v>52</v>
      </c>
      <c r="B343" s="1"/>
      <c r="C343" s="2" t="s">
        <v>15</v>
      </c>
      <c r="D343" s="2" t="str">
        <f>IF(COUNTIF($AG$3:$AG$20,C343)&gt;0,$AG$2,
 IF(COUNTIF($AH$3:$AH$20,C343)&gt;0,$AH$2,
 IF(COUNTIF($AI$3:$AI$20,C343)&gt;0,$AI$2,
 IF(COUNTIF($AJ$3:$AJ$20,C343)&gt;0,$AJ$2,
 IF(COUNTIF($AK$3:$AK$20,C343)&gt;0,$AK$2,
 IF(COUNTIF($AL$3:$AL$20,C343)&gt;0,$AL$2,
 IF(COUNTIF($AM$3:$AM$20,C343)&gt;0,$AM$2,"Not Found")))))))</f>
        <v>Not Found</v>
      </c>
      <c r="E343" s="2" t="s">
        <v>10</v>
      </c>
      <c r="F343" s="2" t="s">
        <v>11</v>
      </c>
      <c r="G343" s="2">
        <v>127</v>
      </c>
      <c r="H343" s="2">
        <v>1914</v>
      </c>
      <c r="I343" s="2">
        <v>140</v>
      </c>
      <c r="J343" s="2">
        <v>566</v>
      </c>
      <c r="K343" s="4">
        <v>0.874</v>
      </c>
      <c r="L343" s="4">
        <v>0.67100000000000004</v>
      </c>
      <c r="M343" s="2">
        <v>113.8</v>
      </c>
      <c r="N343" s="2">
        <v>104.6</v>
      </c>
      <c r="O343" s="2">
        <v>91.3</v>
      </c>
      <c r="P343" s="2">
        <v>98.6</v>
      </c>
      <c r="Q343" s="4">
        <v>0.58799999999999997</v>
      </c>
      <c r="R343" s="4">
        <v>0.55700000000000005</v>
      </c>
      <c r="S343" s="4">
        <v>0.495</v>
      </c>
      <c r="T343" s="4">
        <v>0.52300000000000002</v>
      </c>
      <c r="U343" s="19">
        <f>Table2[[#This Row],[NET PF]]/Table2[[#This Row],[HOME GAMES]]</f>
        <v>-3.3228346456692912</v>
      </c>
      <c r="V343" s="28">
        <f>393/Table2[[#This Row],[AWAY GAMES]]</f>
        <v>2.8071428571428569</v>
      </c>
      <c r="W343" s="4">
        <v>0.69799999999999995</v>
      </c>
      <c r="X343" s="4">
        <v>0.71699999999999997</v>
      </c>
      <c r="Y343" s="2">
        <v>-422</v>
      </c>
      <c r="Z343" s="2">
        <v>-89</v>
      </c>
      <c r="AA343" s="8">
        <f>Table2[[#This Row],[HOME MARGIN]]/Table2[[#This Row],[HOME GAMES]]</f>
        <v>15.070866141732283</v>
      </c>
      <c r="AB343" s="8">
        <f>Table2[[#This Row],[AWAY MARGIN]]/Table2[[#This Row],[AWAY GAMES]]</f>
        <v>4.0428571428571427</v>
      </c>
      <c r="AC343" s="8">
        <f>Table2[[#This Row],[HOME MARGIN/GAME]]-Table2[[#This Row],[AWAY MARGIN/GAME]]</f>
        <v>11.028008998875141</v>
      </c>
      <c r="AD343" s="23">
        <f>Table2[[#This Row],[HOME W/L%]]-Table2[[#This Row],[AWAY W/L%]]</f>
        <v>0.20299999999999996</v>
      </c>
      <c r="AE343" s="22"/>
      <c r="AF343"/>
    </row>
    <row r="344" spans="1:32" x14ac:dyDescent="0.2">
      <c r="A344" s="1">
        <v>49</v>
      </c>
      <c r="B344" s="1">
        <v>16</v>
      </c>
      <c r="C344" s="2" t="s">
        <v>19</v>
      </c>
      <c r="D344" s="2" t="str">
        <f>IF(COUNTIF($AG$3:$AG$20,C344)&gt;0,$AG$2,
 IF(COUNTIF($AH$3:$AH$20,C344)&gt;0,$AH$2,
 IF(COUNTIF($AI$3:$AI$20,C344)&gt;0,$AI$2,
 IF(COUNTIF($AJ$3:$AJ$20,C344)&gt;0,$AJ$2,
 IF(COUNTIF($AK$3:$AK$20,C344)&gt;0,$AK$2,
 IF(COUNTIF($AL$3:$AL$20,C344)&gt;0,$AL$2,
 IF(COUNTIF($AM$3:$AM$20,C344)&gt;0,$AM$2,"Not Found")))))))</f>
        <v>Big East</v>
      </c>
      <c r="E344" s="2" t="s">
        <v>10</v>
      </c>
      <c r="F344" s="2" t="s">
        <v>11</v>
      </c>
      <c r="G344" s="2">
        <v>142</v>
      </c>
      <c r="H344" s="2">
        <v>1933</v>
      </c>
      <c r="I344" s="2">
        <v>116</v>
      </c>
      <c r="J344" s="2">
        <v>361</v>
      </c>
      <c r="K344" s="4">
        <v>0.85199999999999998</v>
      </c>
      <c r="L344" s="4">
        <v>0.56899999999999995</v>
      </c>
      <c r="M344" s="2">
        <v>114.4</v>
      </c>
      <c r="N344" s="2">
        <v>107.3</v>
      </c>
      <c r="O344" s="2">
        <v>94.2</v>
      </c>
      <c r="P344" s="2">
        <v>102.7</v>
      </c>
      <c r="Q344" s="4">
        <v>0.59099999999999997</v>
      </c>
      <c r="R344" s="4">
        <v>0.56399999999999995</v>
      </c>
      <c r="S344" s="4">
        <v>0.50600000000000001</v>
      </c>
      <c r="T344" s="4">
        <v>0.53500000000000003</v>
      </c>
      <c r="U344" s="19">
        <f>Table2[[#This Row],[NET PF]]/Table2[[#This Row],[HOME GAMES]]</f>
        <v>-2.612676056338028</v>
      </c>
      <c r="V344" s="28">
        <f>393/Table2[[#This Row],[AWAY GAMES]]</f>
        <v>3.3879310344827585</v>
      </c>
      <c r="W344" s="4">
        <v>0.70199999999999996</v>
      </c>
      <c r="X344" s="4">
        <v>0.73699999999999999</v>
      </c>
      <c r="Y344" s="2">
        <v>-371</v>
      </c>
      <c r="Z344" s="2">
        <v>95</v>
      </c>
      <c r="AA344" s="8">
        <f>Table2[[#This Row],[HOME MARGIN]]/Table2[[#This Row],[HOME GAMES]]</f>
        <v>13.612676056338028</v>
      </c>
      <c r="AB344" s="8">
        <f>Table2[[#This Row],[AWAY MARGIN]]/Table2[[#This Row],[AWAY GAMES]]</f>
        <v>3.1120689655172415</v>
      </c>
      <c r="AC344" s="8">
        <f>Table2[[#This Row],[HOME MARGIN/GAME]]-Table2[[#This Row],[AWAY MARGIN/GAME]]</f>
        <v>10.500607090820786</v>
      </c>
      <c r="AD344" s="23">
        <f>Table2[[#This Row],[HOME W/L%]]-Table2[[#This Row],[AWAY W/L%]]</f>
        <v>0.28300000000000003</v>
      </c>
      <c r="AE344" s="22"/>
      <c r="AF344"/>
    </row>
    <row r="345" spans="1:32" x14ac:dyDescent="0.2">
      <c r="A345" s="1">
        <v>45</v>
      </c>
      <c r="B345" s="1">
        <v>23</v>
      </c>
      <c r="C345" s="2" t="s">
        <v>35</v>
      </c>
      <c r="D345" s="2" t="str">
        <f>IF(COUNTIF($AG$3:$AG$20,C345)&gt;0,$AG$2,
 IF(COUNTIF($AH$3:$AH$20,C345)&gt;0,$AH$2,
 IF(COUNTIF($AI$3:$AI$20,C345)&gt;0,$AI$2,
 IF(COUNTIF($AJ$3:$AJ$20,C345)&gt;0,$AJ$2,
 IF(COUNTIF($AK$3:$AK$20,C345)&gt;0,$AK$2,
 IF(COUNTIF($AL$3:$AL$20,C345)&gt;0,$AL$2,
 IF(COUNTIF($AM$3:$AM$20,C345)&gt;0,$AM$2,"Not Found")))))))</f>
        <v>ACC</v>
      </c>
      <c r="E345" s="2" t="s">
        <v>10</v>
      </c>
      <c r="F345" s="2" t="s">
        <v>11</v>
      </c>
      <c r="G345" s="2">
        <v>158</v>
      </c>
      <c r="H345" s="2">
        <v>1984</v>
      </c>
      <c r="I345" s="2">
        <v>110</v>
      </c>
      <c r="J345" s="2">
        <v>162</v>
      </c>
      <c r="K345" s="4">
        <v>0.83499999999999996</v>
      </c>
      <c r="L345" s="4">
        <v>0.6</v>
      </c>
      <c r="M345" s="2">
        <v>108.6</v>
      </c>
      <c r="N345" s="2">
        <v>103.5</v>
      </c>
      <c r="O345" s="2">
        <v>88.3</v>
      </c>
      <c r="P345" s="2">
        <v>101.1</v>
      </c>
      <c r="Q345" s="4">
        <v>0.55800000000000005</v>
      </c>
      <c r="R345" s="4">
        <v>0.54</v>
      </c>
      <c r="S345" s="4">
        <v>0.47599999999999998</v>
      </c>
      <c r="T345" s="4">
        <v>0.53300000000000003</v>
      </c>
      <c r="U345" s="19">
        <f>Table2[[#This Row],[NET PF]]/Table2[[#This Row],[HOME GAMES]]</f>
        <v>-1.9936708860759493</v>
      </c>
      <c r="V345" s="28">
        <f>393/Table2[[#This Row],[AWAY GAMES]]</f>
        <v>3.5727272727272728</v>
      </c>
      <c r="W345" s="4">
        <v>0.70499999999999996</v>
      </c>
      <c r="X345" s="4">
        <v>0.72699999999999998</v>
      </c>
      <c r="Y345" s="2">
        <v>-315</v>
      </c>
      <c r="Z345" s="2">
        <v>277</v>
      </c>
      <c r="AA345" s="8">
        <f>Table2[[#This Row],[HOME MARGIN]]/Table2[[#This Row],[HOME GAMES]]</f>
        <v>12.556962025316455</v>
      </c>
      <c r="AB345" s="8">
        <f>Table2[[#This Row],[AWAY MARGIN]]/Table2[[#This Row],[AWAY GAMES]]</f>
        <v>1.4727272727272727</v>
      </c>
      <c r="AC345" s="8">
        <f>Table2[[#This Row],[HOME MARGIN/GAME]]-Table2[[#This Row],[AWAY MARGIN/GAME]]</f>
        <v>11.084234752589182</v>
      </c>
      <c r="AD345" s="23">
        <f>Table2[[#This Row],[HOME W/L%]]-Table2[[#This Row],[AWAY W/L%]]</f>
        <v>0.23499999999999999</v>
      </c>
      <c r="AE345" s="22"/>
      <c r="AF345"/>
    </row>
    <row r="346" spans="1:32" x14ac:dyDescent="0.2">
      <c r="A346" s="1">
        <v>51</v>
      </c>
      <c r="B346" s="1">
        <v>27</v>
      </c>
      <c r="C346" s="2" t="s">
        <v>142</v>
      </c>
      <c r="D346" s="2" t="str">
        <f>IF(COUNTIF($AG$3:$AG$20,C346)&gt;0,$AG$2,
 IF(COUNTIF($AH$3:$AH$20,C346)&gt;0,$AH$2,
 IF(COUNTIF($AI$3:$AI$20,C346)&gt;0,$AI$2,
 IF(COUNTIF($AJ$3:$AJ$20,C346)&gt;0,$AJ$2,
 IF(COUNTIF($AK$3:$AK$20,C346)&gt;0,$AK$2,
 IF(COUNTIF($AL$3:$AL$20,C346)&gt;0,$AL$2,
 IF(COUNTIF($AM$3:$AM$20,C346)&gt;0,$AM$2,"Not Found")))))))</f>
        <v>ACC</v>
      </c>
      <c r="E346" s="2" t="s">
        <v>10</v>
      </c>
      <c r="F346" s="2" t="s">
        <v>11</v>
      </c>
      <c r="G346" s="2">
        <v>164</v>
      </c>
      <c r="H346" s="2">
        <v>1922</v>
      </c>
      <c r="I346" s="2">
        <v>102</v>
      </c>
      <c r="J346" s="2">
        <v>-403</v>
      </c>
      <c r="K346" s="4">
        <v>0.75600000000000001</v>
      </c>
      <c r="L346" s="4">
        <v>0.40200000000000002</v>
      </c>
      <c r="M346" s="2">
        <v>112.3</v>
      </c>
      <c r="N346" s="2">
        <v>100.6</v>
      </c>
      <c r="O346" s="2">
        <v>95.3</v>
      </c>
      <c r="P346" s="2">
        <v>106.4</v>
      </c>
      <c r="Q346" s="4">
        <v>0.58599999999999997</v>
      </c>
      <c r="R346" s="4">
        <v>0.54500000000000004</v>
      </c>
      <c r="S346" s="4">
        <v>0.51</v>
      </c>
      <c r="T346" s="4">
        <v>0.55000000000000004</v>
      </c>
      <c r="U346" s="19">
        <f>Table2[[#This Row],[NET PF]]/Table2[[#This Row],[HOME GAMES]]</f>
        <v>-2.225609756097561</v>
      </c>
      <c r="V346" s="28">
        <f>393/Table2[[#This Row],[AWAY GAMES]]</f>
        <v>3.8529411764705883</v>
      </c>
      <c r="W346" s="4">
        <v>0.69899999999999995</v>
      </c>
      <c r="X346" s="4">
        <v>0.73</v>
      </c>
      <c r="Y346" s="2">
        <v>-365</v>
      </c>
      <c r="Z346" s="2">
        <v>133</v>
      </c>
      <c r="AA346" s="8">
        <f>Table2[[#This Row],[HOME MARGIN]]/Table2[[#This Row],[HOME GAMES]]</f>
        <v>11.719512195121951</v>
      </c>
      <c r="AB346" s="8">
        <f>Table2[[#This Row],[AWAY MARGIN]]/Table2[[#This Row],[AWAY GAMES]]</f>
        <v>-3.9509803921568629</v>
      </c>
      <c r="AC346" s="8">
        <f>Table2[[#This Row],[HOME MARGIN/GAME]]-Table2[[#This Row],[AWAY MARGIN/GAME]]</f>
        <v>15.670492587278813</v>
      </c>
      <c r="AD346" s="23">
        <f>Table2[[#This Row],[HOME W/L%]]-Table2[[#This Row],[AWAY W/L%]]</f>
        <v>0.35399999999999998</v>
      </c>
      <c r="AE346" s="22"/>
      <c r="AF346"/>
    </row>
    <row r="347" spans="1:32" hidden="1" x14ac:dyDescent="0.2">
      <c r="A347" s="1">
        <v>257</v>
      </c>
      <c r="B347" s="1"/>
      <c r="C347" s="2" t="s">
        <v>230</v>
      </c>
      <c r="D347" s="2" t="str">
        <f>IF(COUNTIF($AG$3:$AG$20,C347)&gt;0,$AG$2,
 IF(COUNTIF($AH$3:$AH$20,C347)&gt;0,$AH$2,
 IF(COUNTIF($AI$3:$AI$20,C347)&gt;0,$AI$2,
 IF(COUNTIF($AJ$3:$AJ$20,C347)&gt;0,$AJ$2,
 IF(COUNTIF($AK$3:$AK$20,C347)&gt;0,$AK$2,
 IF(COUNTIF($AL$3:$AL$20,C347)&gt;0,$AL$2,
 IF(COUNTIF($AM$3:$AM$20,C347)&gt;0,$AM$2,"Not Found")))))))</f>
        <v>Not Found</v>
      </c>
      <c r="E347" s="2" t="s">
        <v>10</v>
      </c>
      <c r="F347" s="2" t="s">
        <v>11</v>
      </c>
      <c r="G347" s="2">
        <v>139</v>
      </c>
      <c r="H347" s="2">
        <v>715</v>
      </c>
      <c r="I347" s="2">
        <v>145</v>
      </c>
      <c r="J347" s="2">
        <v>-1857</v>
      </c>
      <c r="K347" s="4">
        <v>0.496</v>
      </c>
      <c r="L347" s="4">
        <v>0.152</v>
      </c>
      <c r="M347" s="2">
        <v>105.8</v>
      </c>
      <c r="N347" s="2">
        <v>94.9</v>
      </c>
      <c r="O347" s="2">
        <v>98.7</v>
      </c>
      <c r="P347" s="2">
        <v>112.9</v>
      </c>
      <c r="Q347" s="4">
        <v>0.55700000000000005</v>
      </c>
      <c r="R347" s="4">
        <v>0.51600000000000001</v>
      </c>
      <c r="S347" s="4">
        <v>0.52500000000000002</v>
      </c>
      <c r="T347" s="4">
        <v>0.57499999999999996</v>
      </c>
      <c r="U347" s="19">
        <f>Table2[[#This Row],[NET PF]]/Table2[[#This Row],[HOME GAMES]]</f>
        <v>-0.1223021582733813</v>
      </c>
      <c r="V347" s="28">
        <f>393/Table2[[#This Row],[AWAY GAMES]]</f>
        <v>2.7103448275862068</v>
      </c>
      <c r="W347" s="4">
        <v>0.68600000000000005</v>
      </c>
      <c r="X347" s="4">
        <v>0.70899999999999996</v>
      </c>
      <c r="Y347" s="2">
        <v>-17</v>
      </c>
      <c r="Z347" s="2">
        <v>323</v>
      </c>
      <c r="AA347" s="8">
        <f>Table2[[#This Row],[HOME MARGIN]]/Table2[[#This Row],[HOME GAMES]]</f>
        <v>5.1438848920863309</v>
      </c>
      <c r="AB347" s="8">
        <f>Table2[[#This Row],[AWAY MARGIN]]/Table2[[#This Row],[AWAY GAMES]]</f>
        <v>-12.806896551724138</v>
      </c>
      <c r="AC347" s="8">
        <f>Table2[[#This Row],[HOME MARGIN/GAME]]-Table2[[#This Row],[AWAY MARGIN/GAME]]</f>
        <v>17.95078144381047</v>
      </c>
      <c r="AD347" s="23">
        <f>Table2[[#This Row],[HOME W/L%]]-Table2[[#This Row],[AWAY W/L%]]</f>
        <v>0.34399999999999997</v>
      </c>
      <c r="AE347" s="22"/>
      <c r="AF347"/>
    </row>
    <row r="348" spans="1:32" hidden="1" x14ac:dyDescent="0.2">
      <c r="A348" s="1">
        <v>185</v>
      </c>
      <c r="B348" s="1"/>
      <c r="C348" s="2" t="s">
        <v>148</v>
      </c>
      <c r="D348" s="2" t="str">
        <f>IF(COUNTIF($AG$3:$AG$20,C348)&gt;0,$AG$2,
 IF(COUNTIF($AH$3:$AH$20,C348)&gt;0,$AH$2,
 IF(COUNTIF($AI$3:$AI$20,C348)&gt;0,$AI$2,
 IF(COUNTIF($AJ$3:$AJ$20,C348)&gt;0,$AJ$2,
 IF(COUNTIF($AK$3:$AK$20,C348)&gt;0,$AK$2,
 IF(COUNTIF($AL$3:$AL$20,C348)&gt;0,$AL$2,
 IF(COUNTIF($AM$3:$AM$20,C348)&gt;0,$AM$2,"Not Found")))))))</f>
        <v>Not Found</v>
      </c>
      <c r="E348" s="2" t="s">
        <v>10</v>
      </c>
      <c r="F348" s="2" t="s">
        <v>11</v>
      </c>
      <c r="G348" s="2">
        <v>126</v>
      </c>
      <c r="H348" s="2">
        <v>1063</v>
      </c>
      <c r="I348" s="2">
        <v>145</v>
      </c>
      <c r="J348" s="2">
        <v>-425</v>
      </c>
      <c r="K348" s="4">
        <v>0.66700000000000004</v>
      </c>
      <c r="L348" s="4">
        <v>0.46200000000000002</v>
      </c>
      <c r="M348" s="2">
        <v>105.2</v>
      </c>
      <c r="N348" s="2">
        <v>96.7</v>
      </c>
      <c r="O348" s="2">
        <v>92.7</v>
      </c>
      <c r="P348" s="2">
        <v>101</v>
      </c>
      <c r="Q348" s="4">
        <v>0.53800000000000003</v>
      </c>
      <c r="R348" s="4">
        <v>0.49099999999999999</v>
      </c>
      <c r="S348" s="4">
        <v>0.51400000000000001</v>
      </c>
      <c r="T348" s="4">
        <v>0.54100000000000004</v>
      </c>
      <c r="U348" s="19">
        <f>Table2[[#This Row],[NET PF]]/Table2[[#This Row],[HOME GAMES]]</f>
        <v>1.9444444444444444</v>
      </c>
      <c r="V348" s="28">
        <f>393/Table2[[#This Row],[AWAY GAMES]]</f>
        <v>2.7103448275862068</v>
      </c>
      <c r="W348" s="4">
        <v>0.69599999999999995</v>
      </c>
      <c r="X348" s="4">
        <v>0.70099999999999996</v>
      </c>
      <c r="Y348" s="2">
        <v>245</v>
      </c>
      <c r="Z348" s="2">
        <v>489</v>
      </c>
      <c r="AA348" s="8">
        <f>Table2[[#This Row],[HOME MARGIN]]/Table2[[#This Row],[HOME GAMES]]</f>
        <v>8.4365079365079367</v>
      </c>
      <c r="AB348" s="8">
        <f>Table2[[#This Row],[AWAY MARGIN]]/Table2[[#This Row],[AWAY GAMES]]</f>
        <v>-2.9310344827586206</v>
      </c>
      <c r="AC348" s="8">
        <f>Table2[[#This Row],[HOME MARGIN/GAME]]-Table2[[#This Row],[AWAY MARGIN/GAME]]</f>
        <v>11.367542419266558</v>
      </c>
      <c r="AD348" s="23">
        <f>Table2[[#This Row],[HOME W/L%]]-Table2[[#This Row],[AWAY W/L%]]</f>
        <v>0.20500000000000002</v>
      </c>
      <c r="AE348" s="22"/>
      <c r="AF348"/>
    </row>
    <row r="349" spans="1:32" x14ac:dyDescent="0.2">
      <c r="A349" s="1">
        <v>200</v>
      </c>
      <c r="B349" s="1">
        <v>66</v>
      </c>
      <c r="C349" s="2" t="s">
        <v>216</v>
      </c>
      <c r="D349" s="2" t="str">
        <f>IF(COUNTIF($AG$3:$AG$20,C349)&gt;0,$AG$2,
 IF(COUNTIF($AH$3:$AH$20,C349)&gt;0,$AH$2,
 IF(COUNTIF($AI$3:$AI$20,C349)&gt;0,$AI$2,
 IF(COUNTIF($AJ$3:$AJ$20,C349)&gt;0,$AJ$2,
 IF(COUNTIF($AK$3:$AK$20,C349)&gt;0,$AK$2,
 IF(COUNTIF($AL$3:$AL$20,C349)&gt;0,$AL$2,
 IF(COUNTIF($AM$3:$AM$20,C349)&gt;0,$AM$2,"Not Found")))))))</f>
        <v>ACC</v>
      </c>
      <c r="E349" s="2" t="s">
        <v>10</v>
      </c>
      <c r="F349" s="2" t="s">
        <v>11</v>
      </c>
      <c r="G349" s="2">
        <v>153</v>
      </c>
      <c r="H349" s="2">
        <v>968</v>
      </c>
      <c r="I349" s="2">
        <v>114</v>
      </c>
      <c r="J349" s="2">
        <v>-668</v>
      </c>
      <c r="K349" s="4">
        <v>0.68</v>
      </c>
      <c r="L349" s="4">
        <v>0.27200000000000002</v>
      </c>
      <c r="M349" s="2">
        <v>107.6</v>
      </c>
      <c r="N349" s="2">
        <v>99.9</v>
      </c>
      <c r="O349" s="2">
        <v>98.8</v>
      </c>
      <c r="P349" s="2">
        <v>108.1</v>
      </c>
      <c r="Q349" s="4">
        <v>0.56799999999999995</v>
      </c>
      <c r="R349" s="4">
        <v>0.53100000000000003</v>
      </c>
      <c r="S349" s="4">
        <v>0.52200000000000002</v>
      </c>
      <c r="T349" s="4">
        <v>0.55800000000000005</v>
      </c>
      <c r="U349" s="19">
        <f>Table2[[#This Row],[NET PF]]/Table2[[#This Row],[HOME GAMES]]</f>
        <v>-3.215686274509804</v>
      </c>
      <c r="V349" s="28">
        <f>393/Table2[[#This Row],[AWAY GAMES]]</f>
        <v>3.4473684210526314</v>
      </c>
      <c r="W349" s="4">
        <v>0.71299999999999997</v>
      </c>
      <c r="X349" s="4">
        <v>0.73399999999999999</v>
      </c>
      <c r="Y349" s="2">
        <v>-492</v>
      </c>
      <c r="Z349" s="2">
        <v>245</v>
      </c>
      <c r="AA349" s="8">
        <f>Table2[[#This Row],[HOME MARGIN]]/Table2[[#This Row],[HOME GAMES]]</f>
        <v>6.3267973856209148</v>
      </c>
      <c r="AB349" s="8">
        <f>Table2[[#This Row],[AWAY MARGIN]]/Table2[[#This Row],[AWAY GAMES]]</f>
        <v>-5.8596491228070171</v>
      </c>
      <c r="AC349" s="8">
        <f>Table2[[#This Row],[HOME MARGIN/GAME]]-Table2[[#This Row],[AWAY MARGIN/GAME]]</f>
        <v>12.186446508427931</v>
      </c>
      <c r="AD349" s="23">
        <f>Table2[[#This Row],[HOME W/L%]]-Table2[[#This Row],[AWAY W/L%]]</f>
        <v>0.40800000000000003</v>
      </c>
      <c r="AE349" s="22"/>
      <c r="AF349"/>
    </row>
    <row r="350" spans="1:32" x14ac:dyDescent="0.2">
      <c r="A350" s="1">
        <v>230</v>
      </c>
      <c r="B350" s="1">
        <v>74</v>
      </c>
      <c r="C350" s="2" t="s">
        <v>362</v>
      </c>
      <c r="D350" s="2" t="str">
        <f>IF(COUNTIF($AG$3:$AG$20,C350)&gt;0,$AG$2,
 IF(COUNTIF($AH$3:$AH$20,C350)&gt;0,$AH$2,
 IF(COUNTIF($AI$3:$AI$20,C350)&gt;0,$AI$2,
 IF(COUNTIF($AJ$3:$AJ$20,C350)&gt;0,$AJ$2,
 IF(COUNTIF($AK$3:$AK$20,C350)&gt;0,$AK$2,
 IF(COUNTIF($AL$3:$AL$20,C350)&gt;0,$AL$2,
 IF(COUNTIF($AM$3:$AM$20,C350)&gt;0,$AM$2,"Not Found")))))))</f>
        <v>Big 10</v>
      </c>
      <c r="E350" s="2" t="s">
        <v>10</v>
      </c>
      <c r="F350" s="2" t="s">
        <v>11</v>
      </c>
      <c r="G350" s="2">
        <v>166</v>
      </c>
      <c r="H350" s="2">
        <v>820</v>
      </c>
      <c r="I350" s="2">
        <v>104</v>
      </c>
      <c r="J350" s="2">
        <v>-736</v>
      </c>
      <c r="K350" s="4">
        <v>0.63900000000000001</v>
      </c>
      <c r="L350" s="4">
        <v>0.29799999999999999</v>
      </c>
      <c r="M350" s="2">
        <v>103.6</v>
      </c>
      <c r="N350" s="2">
        <v>97.3</v>
      </c>
      <c r="O350" s="2">
        <v>96.8</v>
      </c>
      <c r="P350" s="2">
        <v>107.1</v>
      </c>
      <c r="Q350" s="4">
        <v>0.54700000000000004</v>
      </c>
      <c r="R350" s="4">
        <v>0.52200000000000002</v>
      </c>
      <c r="S350" s="4">
        <v>0.51200000000000001</v>
      </c>
      <c r="T350" s="4">
        <v>0.55100000000000005</v>
      </c>
      <c r="U350" s="19">
        <f>Table2[[#This Row],[NET PF]]/Table2[[#This Row],[HOME GAMES]]</f>
        <v>-1.5421686746987953</v>
      </c>
      <c r="V350" s="28">
        <f>393/Table2[[#This Row],[AWAY GAMES]]</f>
        <v>3.7788461538461537</v>
      </c>
      <c r="W350" s="4">
        <v>0.70099999999999996</v>
      </c>
      <c r="X350" s="4">
        <v>0.71199999999999997</v>
      </c>
      <c r="Y350" s="2">
        <v>-256</v>
      </c>
      <c r="Z350" s="2">
        <v>206</v>
      </c>
      <c r="AA350" s="8">
        <f>Table2[[#This Row],[HOME MARGIN]]/Table2[[#This Row],[HOME GAMES]]</f>
        <v>4.9397590361445785</v>
      </c>
      <c r="AB350" s="8">
        <f>Table2[[#This Row],[AWAY MARGIN]]/Table2[[#This Row],[AWAY GAMES]]</f>
        <v>-7.0769230769230766</v>
      </c>
      <c r="AC350" s="8">
        <f>Table2[[#This Row],[HOME MARGIN/GAME]]-Table2[[#This Row],[AWAY MARGIN/GAME]]</f>
        <v>12.016682113067656</v>
      </c>
      <c r="AD350" s="23">
        <f>Table2[[#This Row],[HOME W/L%]]-Table2[[#This Row],[AWAY W/L%]]</f>
        <v>0.34100000000000003</v>
      </c>
      <c r="AE350" s="22"/>
      <c r="AF350"/>
    </row>
    <row r="351" spans="1:32" hidden="1" x14ac:dyDescent="0.2">
      <c r="A351" s="1">
        <v>232</v>
      </c>
      <c r="B351" s="1"/>
      <c r="C351" s="2" t="s">
        <v>358</v>
      </c>
      <c r="D351" s="2" t="str">
        <f>IF(COUNTIF($AG$3:$AG$20,C351)&gt;0,$AG$2,
 IF(COUNTIF($AH$3:$AH$20,C351)&gt;0,$AH$2,
 IF(COUNTIF($AI$3:$AI$20,C351)&gt;0,$AI$2,
 IF(COUNTIF($AJ$3:$AJ$20,C351)&gt;0,$AJ$2,
 IF(COUNTIF($AK$3:$AK$20,C351)&gt;0,$AK$2,
 IF(COUNTIF($AL$3:$AL$20,C351)&gt;0,$AL$2,
 IF(COUNTIF($AM$3:$AM$20,C351)&gt;0,$AM$2,"Not Found")))))))</f>
        <v>Not Found</v>
      </c>
      <c r="E351" s="2" t="s">
        <v>10</v>
      </c>
      <c r="F351" s="2" t="s">
        <v>11</v>
      </c>
      <c r="G351" s="2">
        <v>160</v>
      </c>
      <c r="H351" s="2">
        <v>817</v>
      </c>
      <c r="I351" s="2">
        <v>105</v>
      </c>
      <c r="J351" s="2">
        <v>-774</v>
      </c>
      <c r="K351" s="4">
        <v>0.64400000000000002</v>
      </c>
      <c r="L351" s="4">
        <v>0.29499999999999998</v>
      </c>
      <c r="M351" s="2">
        <v>106</v>
      </c>
      <c r="N351" s="2">
        <v>97.4</v>
      </c>
      <c r="O351" s="2">
        <v>98.8</v>
      </c>
      <c r="P351" s="2">
        <v>107.9</v>
      </c>
      <c r="Q351" s="4">
        <v>0.55700000000000005</v>
      </c>
      <c r="R351" s="4">
        <v>0.52500000000000002</v>
      </c>
      <c r="S351" s="4">
        <v>0.52100000000000002</v>
      </c>
      <c r="T351" s="4">
        <v>0.55700000000000005</v>
      </c>
      <c r="U351" s="19">
        <f>Table2[[#This Row],[NET PF]]/Table2[[#This Row],[HOME GAMES]]</f>
        <v>-1.15625</v>
      </c>
      <c r="V351" s="28">
        <f>393/Table2[[#This Row],[AWAY GAMES]]</f>
        <v>3.7428571428571429</v>
      </c>
      <c r="W351" s="4">
        <v>0.70299999999999996</v>
      </c>
      <c r="X351" s="4">
        <v>0.72099999999999997</v>
      </c>
      <c r="Y351" s="2">
        <v>-185</v>
      </c>
      <c r="Z351" s="2">
        <v>196</v>
      </c>
      <c r="AA351" s="8">
        <f>Table2[[#This Row],[HOME MARGIN]]/Table2[[#This Row],[HOME GAMES]]</f>
        <v>5.1062500000000002</v>
      </c>
      <c r="AB351" s="8">
        <f>Table2[[#This Row],[AWAY MARGIN]]/Table2[[#This Row],[AWAY GAMES]]</f>
        <v>-7.371428571428571</v>
      </c>
      <c r="AC351" s="8">
        <f>Table2[[#This Row],[HOME MARGIN/GAME]]-Table2[[#This Row],[AWAY MARGIN/GAME]]</f>
        <v>12.477678571428571</v>
      </c>
      <c r="AD351" s="23">
        <f>Table2[[#This Row],[HOME W/L%]]-Table2[[#This Row],[AWAY W/L%]]</f>
        <v>0.34900000000000003</v>
      </c>
      <c r="AE351" s="22"/>
      <c r="AF351"/>
    </row>
    <row r="352" spans="1:32" hidden="1" x14ac:dyDescent="0.2">
      <c r="A352" s="1">
        <v>46</v>
      </c>
      <c r="B352" s="1"/>
      <c r="C352" s="2" t="s">
        <v>121</v>
      </c>
      <c r="D352" s="2" t="str">
        <f>IF(COUNTIF($AG$3:$AG$20,C352)&gt;0,$AG$2,
 IF(COUNTIF($AH$3:$AH$20,C352)&gt;0,$AH$2,
 IF(COUNTIF($AI$3:$AI$20,C352)&gt;0,$AI$2,
 IF(COUNTIF($AJ$3:$AJ$20,C352)&gt;0,$AJ$2,
 IF(COUNTIF($AK$3:$AK$20,C352)&gt;0,$AK$2,
 IF(COUNTIF($AL$3:$AL$20,C352)&gt;0,$AL$2,
 IF(COUNTIF($AM$3:$AM$20,C352)&gt;0,$AM$2,"Not Found")))))))</f>
        <v>Not Found</v>
      </c>
      <c r="E352" s="2" t="s">
        <v>10</v>
      </c>
      <c r="F352" s="2" t="s">
        <v>11</v>
      </c>
      <c r="G352" s="2">
        <v>138</v>
      </c>
      <c r="H352" s="2">
        <v>1947</v>
      </c>
      <c r="I352" s="2">
        <v>131</v>
      </c>
      <c r="J352" s="2">
        <v>-340</v>
      </c>
      <c r="K352" s="4">
        <v>0.71</v>
      </c>
      <c r="L352" s="4">
        <v>0.46600000000000003</v>
      </c>
      <c r="M352" s="2">
        <v>113.2</v>
      </c>
      <c r="N352" s="2">
        <v>102.1</v>
      </c>
      <c r="O352" s="2">
        <v>93.4</v>
      </c>
      <c r="P352" s="2">
        <v>105.9</v>
      </c>
      <c r="Q352" s="4">
        <v>0.59899999999999998</v>
      </c>
      <c r="R352" s="4">
        <v>0.56200000000000006</v>
      </c>
      <c r="S352" s="4">
        <v>0.496</v>
      </c>
      <c r="T352" s="4">
        <v>0.55700000000000005</v>
      </c>
      <c r="U352" s="19">
        <f>Table2[[#This Row],[NET PF]]/Table2[[#This Row],[HOME GAMES]]</f>
        <v>-2.6739130434782608</v>
      </c>
      <c r="V352" s="28">
        <f>393/Table2[[#This Row],[AWAY GAMES]]</f>
        <v>3</v>
      </c>
      <c r="W352" s="4">
        <v>0.70799999999999996</v>
      </c>
      <c r="X352" s="4">
        <v>0.70699999999999996</v>
      </c>
      <c r="Y352" s="2">
        <v>-369</v>
      </c>
      <c r="Z352" s="2">
        <v>-58</v>
      </c>
      <c r="AA352" s="8">
        <f>Table2[[#This Row],[HOME MARGIN]]/Table2[[#This Row],[HOME GAMES]]</f>
        <v>14.108695652173912</v>
      </c>
      <c r="AB352" s="8">
        <f>Table2[[#This Row],[AWAY MARGIN]]/Table2[[#This Row],[AWAY GAMES]]</f>
        <v>-2.5954198473282442</v>
      </c>
      <c r="AC352" s="8">
        <f>Table2[[#This Row],[HOME MARGIN/GAME]]-Table2[[#This Row],[AWAY MARGIN/GAME]]</f>
        <v>16.704115499502155</v>
      </c>
      <c r="AD352" s="23">
        <f>Table2[[#This Row],[HOME W/L%]]-Table2[[#This Row],[AWAY W/L%]]</f>
        <v>0.24399999999999994</v>
      </c>
      <c r="AE352" s="22"/>
      <c r="AF352"/>
    </row>
    <row r="353" spans="1:32" hidden="1" x14ac:dyDescent="0.2">
      <c r="A353" s="1">
        <v>359</v>
      </c>
      <c r="B353" s="1"/>
      <c r="C353" s="2" t="s">
        <v>96</v>
      </c>
      <c r="D353" s="2" t="str">
        <f>IF(COUNTIF($AG$3:$AG$20,C353)&gt;0,$AG$2,
 IF(COUNTIF($AH$3:$AH$20,C353)&gt;0,$AH$2,
 IF(COUNTIF($AI$3:$AI$20,C353)&gt;0,$AI$2,
 IF(COUNTIF($AJ$3:$AJ$20,C353)&gt;0,$AJ$2,
 IF(COUNTIF($AK$3:$AK$20,C353)&gt;0,$AK$2,
 IF(COUNTIF($AL$3:$AL$20,C353)&gt;0,$AL$2,
 IF(COUNTIF($AM$3:$AM$20,C353)&gt;0,$AM$2,"Not Found")))))))</f>
        <v>Not Found</v>
      </c>
      <c r="E353" s="2" t="s">
        <v>11</v>
      </c>
      <c r="F353" s="2" t="s">
        <v>11</v>
      </c>
      <c r="G353" s="2">
        <v>12</v>
      </c>
      <c r="H353" s="2">
        <v>-41</v>
      </c>
      <c r="I353" s="2">
        <v>17</v>
      </c>
      <c r="J353" s="2">
        <v>-230</v>
      </c>
      <c r="K353" s="4">
        <v>0.33300000000000002</v>
      </c>
      <c r="L353" s="4">
        <v>0.11799999999999999</v>
      </c>
      <c r="M353" s="2">
        <v>103.4</v>
      </c>
      <c r="N353" s="2">
        <v>94.8</v>
      </c>
      <c r="O353" s="2">
        <v>108.3</v>
      </c>
      <c r="P353" s="2">
        <v>113.9</v>
      </c>
      <c r="Q353" s="4">
        <v>0.52800000000000002</v>
      </c>
      <c r="R353" s="4">
        <v>0.499</v>
      </c>
      <c r="S353" s="4">
        <v>0.56399999999999995</v>
      </c>
      <c r="T353" s="4">
        <v>0.6</v>
      </c>
      <c r="U353" s="19">
        <f>Table2[[#This Row],[NET PF]]/Table2[[#This Row],[HOME GAMES]]</f>
        <v>1</v>
      </c>
      <c r="V353" s="28">
        <f>393/Table2[[#This Row],[AWAY GAMES]]</f>
        <v>23.117647058823529</v>
      </c>
      <c r="W353" s="4">
        <v>0.745</v>
      </c>
      <c r="X353" s="4">
        <v>0.68500000000000005</v>
      </c>
      <c r="Y353" s="2">
        <v>12</v>
      </c>
      <c r="Z353" s="2">
        <v>-1</v>
      </c>
      <c r="AA353" s="8">
        <f>Table2[[#This Row],[HOME MARGIN]]/Table2[[#This Row],[HOME GAMES]]</f>
        <v>-3.4166666666666665</v>
      </c>
      <c r="AB353" s="8">
        <f>Table2[[#This Row],[AWAY MARGIN]]/Table2[[#This Row],[AWAY GAMES]]</f>
        <v>-13.529411764705882</v>
      </c>
      <c r="AC353" s="8">
        <f>Table2[[#This Row],[HOME MARGIN/GAME]]-Table2[[#This Row],[AWAY MARGIN/GAME]]</f>
        <v>10.112745098039216</v>
      </c>
      <c r="AD353" s="23">
        <f>Table2[[#This Row],[HOME W/L%]]-Table2[[#This Row],[AWAY W/L%]]</f>
        <v>0.21500000000000002</v>
      </c>
      <c r="AE353" s="22"/>
      <c r="AF353"/>
    </row>
    <row r="354" spans="1:32" x14ac:dyDescent="0.2">
      <c r="A354" s="1">
        <v>55</v>
      </c>
      <c r="B354" s="1">
        <v>30</v>
      </c>
      <c r="C354" s="2" t="s">
        <v>161</v>
      </c>
      <c r="D354" s="2" t="str">
        <f>IF(COUNTIF($AG$3:$AG$20,C354)&gt;0,$AG$2,
 IF(COUNTIF($AH$3:$AH$20,C354)&gt;0,$AH$2,
 IF(COUNTIF($AI$3:$AI$20,C354)&gt;0,$AI$2,
 IF(COUNTIF($AJ$3:$AJ$20,C354)&gt;0,$AJ$2,
 IF(COUNTIF($AK$3:$AK$20,C354)&gt;0,$AK$2,
 IF(COUNTIF($AL$3:$AL$20,C354)&gt;0,$AL$2,
 IF(COUNTIF($AM$3:$AM$20,C354)&gt;0,$AM$2,"Not Found")))))))</f>
        <v>Big 12</v>
      </c>
      <c r="E354" s="2" t="s">
        <v>10</v>
      </c>
      <c r="F354" s="2" t="s">
        <v>11</v>
      </c>
      <c r="G354" s="2">
        <v>164</v>
      </c>
      <c r="H354" s="2">
        <v>1890</v>
      </c>
      <c r="I354" s="2">
        <v>104</v>
      </c>
      <c r="J354" s="2">
        <v>-477</v>
      </c>
      <c r="K354" s="4">
        <v>0.74399999999999999</v>
      </c>
      <c r="L354" s="4">
        <v>0.35599999999999998</v>
      </c>
      <c r="M354" s="2">
        <v>109.3</v>
      </c>
      <c r="N354" s="2">
        <v>99.2</v>
      </c>
      <c r="O354" s="2">
        <v>93.2</v>
      </c>
      <c r="P354" s="2">
        <v>105.7</v>
      </c>
      <c r="Q354" s="4">
        <v>0.54400000000000004</v>
      </c>
      <c r="R354" s="4">
        <v>0.51600000000000001</v>
      </c>
      <c r="S354" s="4">
        <v>0.51200000000000001</v>
      </c>
      <c r="T354" s="4">
        <v>0.56799999999999995</v>
      </c>
      <c r="U354" s="19">
        <f>Table2[[#This Row],[NET PF]]/Table2[[#This Row],[HOME GAMES]]</f>
        <v>-3.5060975609756095</v>
      </c>
      <c r="V354" s="28">
        <f>393/Table2[[#This Row],[AWAY GAMES]]</f>
        <v>3.7788461538461537</v>
      </c>
      <c r="W354" s="4">
        <v>0.69699999999999995</v>
      </c>
      <c r="X354" s="4">
        <v>0.73199999999999998</v>
      </c>
      <c r="Y354" s="2">
        <v>-575</v>
      </c>
      <c r="Z354" s="2">
        <v>207</v>
      </c>
      <c r="AA354" s="8">
        <f>Table2[[#This Row],[HOME MARGIN]]/Table2[[#This Row],[HOME GAMES]]</f>
        <v>11.524390243902438</v>
      </c>
      <c r="AB354" s="8">
        <f>Table2[[#This Row],[AWAY MARGIN]]/Table2[[#This Row],[AWAY GAMES]]</f>
        <v>-4.5865384615384617</v>
      </c>
      <c r="AC354" s="8">
        <f>Table2[[#This Row],[HOME MARGIN/GAME]]-Table2[[#This Row],[AWAY MARGIN/GAME]]</f>
        <v>16.110928705440898</v>
      </c>
      <c r="AD354" s="23">
        <f>Table2[[#This Row],[HOME W/L%]]-Table2[[#This Row],[AWAY W/L%]]</f>
        <v>0.38800000000000001</v>
      </c>
      <c r="AE354" s="22"/>
      <c r="AF354"/>
    </row>
    <row r="355" spans="1:32" hidden="1" x14ac:dyDescent="0.2">
      <c r="A355" s="1">
        <v>248</v>
      </c>
      <c r="B355" s="1"/>
      <c r="C355" s="2" t="s">
        <v>249</v>
      </c>
      <c r="D355" s="2" t="str">
        <f>IF(COUNTIF($AG$3:$AG$20,C355)&gt;0,$AG$2,
 IF(COUNTIF($AH$3:$AH$20,C355)&gt;0,$AH$2,
 IF(COUNTIF($AI$3:$AI$20,C355)&gt;0,$AI$2,
 IF(COUNTIF($AJ$3:$AJ$20,C355)&gt;0,$AJ$2,
 IF(COUNTIF($AK$3:$AK$20,C355)&gt;0,$AK$2,
 IF(COUNTIF($AL$3:$AL$20,C355)&gt;0,$AL$2,
 IF(COUNTIF($AM$3:$AM$20,C355)&gt;0,$AM$2,"Not Found")))))))</f>
        <v>Not Found</v>
      </c>
      <c r="E355" s="2" t="s">
        <v>10</v>
      </c>
      <c r="F355" s="2" t="s">
        <v>11</v>
      </c>
      <c r="G355" s="2">
        <v>134</v>
      </c>
      <c r="H355" s="2">
        <v>738</v>
      </c>
      <c r="I355" s="2">
        <v>155</v>
      </c>
      <c r="J355" s="2">
        <v>-1519</v>
      </c>
      <c r="K355" s="4">
        <v>0.61199999999999999</v>
      </c>
      <c r="L355" s="4">
        <v>0.27700000000000002</v>
      </c>
      <c r="M355" s="2">
        <v>105.5</v>
      </c>
      <c r="N355" s="2">
        <v>94.9</v>
      </c>
      <c r="O355" s="2">
        <v>97.8</v>
      </c>
      <c r="P355" s="2">
        <v>108.5</v>
      </c>
      <c r="Q355" s="4">
        <v>0.55200000000000005</v>
      </c>
      <c r="R355" s="4">
        <v>0.51</v>
      </c>
      <c r="S355" s="4">
        <v>0.51800000000000002</v>
      </c>
      <c r="T355" s="4">
        <v>0.56000000000000005</v>
      </c>
      <c r="U355" s="19">
        <f>Table2[[#This Row],[NET PF]]/Table2[[#This Row],[HOME GAMES]]</f>
        <v>-1.5223880597014925</v>
      </c>
      <c r="V355" s="28">
        <f>393/Table2[[#This Row],[AWAY GAMES]]</f>
        <v>2.5354838709677421</v>
      </c>
      <c r="W355" s="4">
        <v>0.70399999999999996</v>
      </c>
      <c r="X355" s="4">
        <v>0.71099999999999997</v>
      </c>
      <c r="Y355" s="2">
        <v>-204</v>
      </c>
      <c r="Z355" s="2">
        <v>326</v>
      </c>
      <c r="AA355" s="8">
        <f>Table2[[#This Row],[HOME MARGIN]]/Table2[[#This Row],[HOME GAMES]]</f>
        <v>5.5074626865671643</v>
      </c>
      <c r="AB355" s="8">
        <f>Table2[[#This Row],[AWAY MARGIN]]/Table2[[#This Row],[AWAY GAMES]]</f>
        <v>-9.8000000000000007</v>
      </c>
      <c r="AC355" s="8">
        <f>Table2[[#This Row],[HOME MARGIN/GAME]]-Table2[[#This Row],[AWAY MARGIN/GAME]]</f>
        <v>15.307462686567165</v>
      </c>
      <c r="AD355" s="23">
        <f>Table2[[#This Row],[HOME W/L%]]-Table2[[#This Row],[AWAY W/L%]]</f>
        <v>0.33499999999999996</v>
      </c>
      <c r="AE355" s="22"/>
      <c r="AF355"/>
    </row>
    <row r="356" spans="1:32" hidden="1" x14ac:dyDescent="0.2">
      <c r="A356" s="1">
        <v>233</v>
      </c>
      <c r="B356" s="1"/>
      <c r="C356" s="2" t="s">
        <v>277</v>
      </c>
      <c r="D356" s="2" t="str">
        <f>IF(COUNTIF($AG$3:$AG$20,C356)&gt;0,$AG$2,
 IF(COUNTIF($AH$3:$AH$20,C356)&gt;0,$AH$2,
 IF(COUNTIF($AI$3:$AI$20,C356)&gt;0,$AI$2,
 IF(COUNTIF($AJ$3:$AJ$20,C356)&gt;0,$AJ$2,
 IF(COUNTIF($AK$3:$AK$20,C356)&gt;0,$AK$2,
 IF(COUNTIF($AL$3:$AL$20,C356)&gt;0,$AL$2,
 IF(COUNTIF($AM$3:$AM$20,C356)&gt;0,$AM$2,"Not Found")))))))</f>
        <v>Not Found</v>
      </c>
      <c r="E356" s="2" t="s">
        <v>10</v>
      </c>
      <c r="F356" s="2" t="s">
        <v>11</v>
      </c>
      <c r="G356" s="2">
        <v>136</v>
      </c>
      <c r="H356" s="2">
        <v>817</v>
      </c>
      <c r="I356" s="2">
        <v>140</v>
      </c>
      <c r="J356" s="2">
        <v>-1216</v>
      </c>
      <c r="K356" s="4">
        <v>0.54400000000000004</v>
      </c>
      <c r="L356" s="4">
        <v>0.28599999999999998</v>
      </c>
      <c r="M356" s="2">
        <v>106</v>
      </c>
      <c r="N356" s="2">
        <v>96.6</v>
      </c>
      <c r="O356" s="2">
        <v>97.7</v>
      </c>
      <c r="P356" s="2">
        <v>108.9</v>
      </c>
      <c r="Q356" s="4">
        <v>0.55100000000000005</v>
      </c>
      <c r="R356" s="4">
        <v>0.51300000000000001</v>
      </c>
      <c r="S356" s="4">
        <v>0.51700000000000002</v>
      </c>
      <c r="T356" s="4">
        <v>0.55900000000000005</v>
      </c>
      <c r="U356" s="19">
        <f>Table2[[#This Row],[NET PF]]/Table2[[#This Row],[HOME GAMES]]</f>
        <v>-2.5073529411764706</v>
      </c>
      <c r="V356" s="28">
        <f>393/Table2[[#This Row],[AWAY GAMES]]</f>
        <v>2.8071428571428569</v>
      </c>
      <c r="W356" s="4">
        <v>0.71399999999999997</v>
      </c>
      <c r="X356" s="4">
        <v>0.73199999999999998</v>
      </c>
      <c r="Y356" s="2">
        <v>-341</v>
      </c>
      <c r="Z356" s="2">
        <v>265</v>
      </c>
      <c r="AA356" s="8">
        <f>Table2[[#This Row],[HOME MARGIN]]/Table2[[#This Row],[HOME GAMES]]</f>
        <v>6.007352941176471</v>
      </c>
      <c r="AB356" s="8">
        <f>Table2[[#This Row],[AWAY MARGIN]]/Table2[[#This Row],[AWAY GAMES]]</f>
        <v>-8.6857142857142851</v>
      </c>
      <c r="AC356" s="8">
        <f>Table2[[#This Row],[HOME MARGIN/GAME]]-Table2[[#This Row],[AWAY MARGIN/GAME]]</f>
        <v>14.693067226890756</v>
      </c>
      <c r="AD356" s="23">
        <f>Table2[[#This Row],[HOME W/L%]]-Table2[[#This Row],[AWAY W/L%]]</f>
        <v>0.25800000000000006</v>
      </c>
      <c r="AE356" s="22"/>
      <c r="AF356"/>
    </row>
    <row r="357" spans="1:32" hidden="1" x14ac:dyDescent="0.2">
      <c r="A357" s="1">
        <v>145</v>
      </c>
      <c r="B357" s="1"/>
      <c r="C357" s="2" t="s">
        <v>126</v>
      </c>
      <c r="D357" s="2" t="str">
        <f>IF(COUNTIF($AG$3:$AG$20,C357)&gt;0,$AG$2,
 IF(COUNTIF($AH$3:$AH$20,C357)&gt;0,$AH$2,
 IF(COUNTIF($AI$3:$AI$20,C357)&gt;0,$AI$2,
 IF(COUNTIF($AJ$3:$AJ$20,C357)&gt;0,$AJ$2,
 IF(COUNTIF($AK$3:$AK$20,C357)&gt;0,$AK$2,
 IF(COUNTIF($AL$3:$AL$20,C357)&gt;0,$AL$2,
 IF(COUNTIF($AM$3:$AM$20,C357)&gt;0,$AM$2,"Not Found")))))))</f>
        <v>Not Found</v>
      </c>
      <c r="E357" s="2" t="s">
        <v>10</v>
      </c>
      <c r="F357" s="2" t="s">
        <v>11</v>
      </c>
      <c r="G357" s="2">
        <v>150</v>
      </c>
      <c r="H357" s="2">
        <v>1281</v>
      </c>
      <c r="I357" s="2">
        <v>125</v>
      </c>
      <c r="J357" s="2">
        <v>-352</v>
      </c>
      <c r="K357" s="4">
        <v>0.77300000000000002</v>
      </c>
      <c r="L357" s="4">
        <v>0.40799999999999997</v>
      </c>
      <c r="M357" s="2">
        <v>109</v>
      </c>
      <c r="N357" s="2">
        <v>99.3</v>
      </c>
      <c r="O357" s="2">
        <v>97.2</v>
      </c>
      <c r="P357" s="2">
        <v>103.2</v>
      </c>
      <c r="Q357" s="4">
        <v>0.56999999999999995</v>
      </c>
      <c r="R357" s="4">
        <v>0.53400000000000003</v>
      </c>
      <c r="S357" s="4">
        <v>0.51700000000000002</v>
      </c>
      <c r="T357" s="4">
        <v>0.53600000000000003</v>
      </c>
      <c r="U357" s="19">
        <f>Table2[[#This Row],[NET PF]]/Table2[[#This Row],[HOME GAMES]]</f>
        <v>-4.8266666666666671</v>
      </c>
      <c r="V357" s="28">
        <f>393/Table2[[#This Row],[AWAY GAMES]]</f>
        <v>3.1440000000000001</v>
      </c>
      <c r="W357" s="4">
        <v>0.71699999999999997</v>
      </c>
      <c r="X357" s="4">
        <v>0.70499999999999996</v>
      </c>
      <c r="Y357" s="2">
        <v>-724</v>
      </c>
      <c r="Z357" s="2">
        <v>19</v>
      </c>
      <c r="AA357" s="8">
        <f>Table2[[#This Row],[HOME MARGIN]]/Table2[[#This Row],[HOME GAMES]]</f>
        <v>8.5399999999999991</v>
      </c>
      <c r="AB357" s="8">
        <f>Table2[[#This Row],[AWAY MARGIN]]/Table2[[#This Row],[AWAY GAMES]]</f>
        <v>-2.8159999999999998</v>
      </c>
      <c r="AC357" s="8">
        <f>Table2[[#This Row],[HOME MARGIN/GAME]]-Table2[[#This Row],[AWAY MARGIN/GAME]]</f>
        <v>11.355999999999998</v>
      </c>
      <c r="AD357" s="23">
        <f>Table2[[#This Row],[HOME W/L%]]-Table2[[#This Row],[AWAY W/L%]]</f>
        <v>0.36500000000000005</v>
      </c>
      <c r="AE357" s="22"/>
      <c r="AF357"/>
    </row>
    <row r="358" spans="1:32" hidden="1" x14ac:dyDescent="0.2">
      <c r="A358" s="1">
        <v>314</v>
      </c>
      <c r="B358" s="1"/>
      <c r="C358" s="2" t="s">
        <v>263</v>
      </c>
      <c r="D358" s="2" t="str">
        <f>IF(COUNTIF($AG$3:$AG$20,C358)&gt;0,$AG$2,
 IF(COUNTIF($AH$3:$AH$20,C358)&gt;0,$AH$2,
 IF(COUNTIF($AI$3:$AI$20,C358)&gt;0,$AI$2,
 IF(COUNTIF($AJ$3:$AJ$20,C358)&gt;0,$AJ$2,
 IF(COUNTIF($AK$3:$AK$20,C358)&gt;0,$AK$2,
 IF(COUNTIF($AL$3:$AL$20,C358)&gt;0,$AL$2,
 IF(COUNTIF($AM$3:$AM$20,C358)&gt;0,$AM$2,"Not Found")))))))</f>
        <v>Not Found</v>
      </c>
      <c r="E358" s="2" t="s">
        <v>10</v>
      </c>
      <c r="F358" s="2" t="s">
        <v>11</v>
      </c>
      <c r="G358" s="2">
        <v>141</v>
      </c>
      <c r="H358" s="2">
        <v>381</v>
      </c>
      <c r="I358" s="2">
        <v>139</v>
      </c>
      <c r="J358" s="2">
        <v>-1344</v>
      </c>
      <c r="K358" s="4">
        <v>0.51800000000000002</v>
      </c>
      <c r="L358" s="4">
        <v>0.223</v>
      </c>
      <c r="M358" s="2">
        <v>105.6</v>
      </c>
      <c r="N358" s="2">
        <v>96.1</v>
      </c>
      <c r="O358" s="2">
        <v>101.8</v>
      </c>
      <c r="P358" s="2">
        <v>110</v>
      </c>
      <c r="Q358" s="4">
        <v>0.54200000000000004</v>
      </c>
      <c r="R358" s="4">
        <v>0.50700000000000001</v>
      </c>
      <c r="S358" s="4">
        <v>0.53400000000000003</v>
      </c>
      <c r="T358" s="4">
        <v>0.56699999999999995</v>
      </c>
      <c r="U358" s="19">
        <f>Table2[[#This Row],[NET PF]]/Table2[[#This Row],[HOME GAMES]]</f>
        <v>-1.8297872340425532</v>
      </c>
      <c r="V358" s="28">
        <f>393/Table2[[#This Row],[AWAY GAMES]]</f>
        <v>2.8273381294964031</v>
      </c>
      <c r="W358" s="4">
        <v>0.71499999999999997</v>
      </c>
      <c r="X358" s="4">
        <v>0.69899999999999995</v>
      </c>
      <c r="Y358" s="2">
        <v>-258</v>
      </c>
      <c r="Z358" s="2">
        <v>161</v>
      </c>
      <c r="AA358" s="8">
        <f>Table2[[#This Row],[HOME MARGIN]]/Table2[[#This Row],[HOME GAMES]]</f>
        <v>2.7021276595744679</v>
      </c>
      <c r="AB358" s="8">
        <f>Table2[[#This Row],[AWAY MARGIN]]/Table2[[#This Row],[AWAY GAMES]]</f>
        <v>-9.6690647482014391</v>
      </c>
      <c r="AC358" s="8">
        <f>Table2[[#This Row],[HOME MARGIN/GAME]]-Table2[[#This Row],[AWAY MARGIN/GAME]]</f>
        <v>12.371192407775908</v>
      </c>
      <c r="AD358" s="23">
        <f>Table2[[#This Row],[HOME W/L%]]-Table2[[#This Row],[AWAY W/L%]]</f>
        <v>0.29500000000000004</v>
      </c>
      <c r="AE358" s="22"/>
      <c r="AF358"/>
    </row>
    <row r="359" spans="1:32" hidden="1" x14ac:dyDescent="0.2">
      <c r="A359" s="1">
        <v>67</v>
      </c>
      <c r="B359" s="1"/>
      <c r="C359" s="2" t="s">
        <v>31</v>
      </c>
      <c r="D359" s="2" t="str">
        <f>IF(COUNTIF($AG$3:$AG$20,C359)&gt;0,$AG$2,
 IF(COUNTIF($AH$3:$AH$20,C359)&gt;0,$AH$2,
 IF(COUNTIF($AI$3:$AI$20,C359)&gt;0,$AI$2,
 IF(COUNTIF($AJ$3:$AJ$20,C359)&gt;0,$AJ$2,
 IF(COUNTIF($AK$3:$AK$20,C359)&gt;0,$AK$2,
 IF(COUNTIF($AL$3:$AL$20,C359)&gt;0,$AL$2,
 IF(COUNTIF($AM$3:$AM$20,C359)&gt;0,$AM$2,"Not Found")))))))</f>
        <v>Not Found</v>
      </c>
      <c r="E359" s="2" t="s">
        <v>10</v>
      </c>
      <c r="F359" s="2" t="s">
        <v>11</v>
      </c>
      <c r="G359" s="2">
        <v>158</v>
      </c>
      <c r="H359" s="2">
        <v>1766</v>
      </c>
      <c r="I359" s="2">
        <v>103</v>
      </c>
      <c r="J359" s="2">
        <v>211</v>
      </c>
      <c r="K359" s="4">
        <v>0.75900000000000001</v>
      </c>
      <c r="L359" s="4">
        <v>0.56299999999999994</v>
      </c>
      <c r="M359" s="2">
        <v>108.2</v>
      </c>
      <c r="N359" s="2">
        <v>101.3</v>
      </c>
      <c r="O359" s="2">
        <v>92.5</v>
      </c>
      <c r="P359" s="2">
        <v>98.4</v>
      </c>
      <c r="Q359" s="4">
        <v>0.55100000000000005</v>
      </c>
      <c r="R359" s="4">
        <v>0.52500000000000002</v>
      </c>
      <c r="S359" s="4">
        <v>0.496</v>
      </c>
      <c r="T359" s="4">
        <v>0.52100000000000002</v>
      </c>
      <c r="U359" s="19">
        <f>Table2[[#This Row],[NET PF]]/Table2[[#This Row],[HOME GAMES]]</f>
        <v>-1.7531645569620253</v>
      </c>
      <c r="V359" s="28">
        <f>393/Table2[[#This Row],[AWAY GAMES]]</f>
        <v>3.8155339805825244</v>
      </c>
      <c r="W359" s="4">
        <v>0.68899999999999995</v>
      </c>
      <c r="X359" s="4">
        <v>0.72399999999999998</v>
      </c>
      <c r="Y359" s="2">
        <v>-277</v>
      </c>
      <c r="Z359" s="2">
        <v>119</v>
      </c>
      <c r="AA359" s="8">
        <f>Table2[[#This Row],[HOME MARGIN]]/Table2[[#This Row],[HOME GAMES]]</f>
        <v>11.177215189873417</v>
      </c>
      <c r="AB359" s="8">
        <f>Table2[[#This Row],[AWAY MARGIN]]/Table2[[#This Row],[AWAY GAMES]]</f>
        <v>2.0485436893203883</v>
      </c>
      <c r="AC359" s="8">
        <f>Table2[[#This Row],[HOME MARGIN/GAME]]-Table2[[#This Row],[AWAY MARGIN/GAME]]</f>
        <v>9.128671500553029</v>
      </c>
      <c r="AD359" s="23">
        <f>Table2[[#This Row],[HOME W/L%]]-Table2[[#This Row],[AWAY W/L%]]</f>
        <v>0.19600000000000006</v>
      </c>
      <c r="AE359" s="22"/>
      <c r="AF359"/>
    </row>
    <row r="360" spans="1:32" hidden="1" x14ac:dyDescent="0.2">
      <c r="A360" s="1">
        <v>205</v>
      </c>
      <c r="B360" s="1"/>
      <c r="C360" s="2" t="s">
        <v>305</v>
      </c>
      <c r="D360" s="2" t="str">
        <f>IF(COUNTIF($AG$3:$AG$20,C360)&gt;0,$AG$2,
 IF(COUNTIF($AH$3:$AH$20,C360)&gt;0,$AH$2,
 IF(COUNTIF($AI$3:$AI$20,C360)&gt;0,$AI$2,
 IF(COUNTIF($AJ$3:$AJ$20,C360)&gt;0,$AJ$2,
 IF(COUNTIF($AK$3:$AK$20,C360)&gt;0,$AK$2,
 IF(COUNTIF($AL$3:$AL$20,C360)&gt;0,$AL$2,
 IF(COUNTIF($AM$3:$AM$20,C360)&gt;0,$AM$2,"Not Found")))))))</f>
        <v>Not Found</v>
      </c>
      <c r="E360" s="2" t="s">
        <v>10</v>
      </c>
      <c r="F360" s="2" t="s">
        <v>11</v>
      </c>
      <c r="G360" s="2">
        <v>132</v>
      </c>
      <c r="H360" s="2">
        <v>942</v>
      </c>
      <c r="I360" s="2">
        <v>148</v>
      </c>
      <c r="J360" s="2">
        <v>-1027</v>
      </c>
      <c r="K360" s="4">
        <v>0.68899999999999995</v>
      </c>
      <c r="L360" s="4">
        <v>0.30399999999999999</v>
      </c>
      <c r="M360" s="2">
        <v>111.3</v>
      </c>
      <c r="N360" s="2">
        <v>99.1</v>
      </c>
      <c r="O360" s="2">
        <v>101.2</v>
      </c>
      <c r="P360" s="2">
        <v>109</v>
      </c>
      <c r="Q360" s="4">
        <v>0.58499999999999996</v>
      </c>
      <c r="R360" s="4">
        <v>0.53900000000000003</v>
      </c>
      <c r="S360" s="4">
        <v>0.53300000000000003</v>
      </c>
      <c r="T360" s="4">
        <v>0.55600000000000005</v>
      </c>
      <c r="U360" s="19">
        <f>Table2[[#This Row],[NET PF]]/Table2[[#This Row],[HOME GAMES]]</f>
        <v>-2.0909090909090908</v>
      </c>
      <c r="V360" s="28">
        <f>393/Table2[[#This Row],[AWAY GAMES]]</f>
        <v>2.6554054054054053</v>
      </c>
      <c r="W360" s="4">
        <v>0.70499999999999996</v>
      </c>
      <c r="X360" s="4">
        <v>0.72399999999999998</v>
      </c>
      <c r="Y360" s="2">
        <v>-276</v>
      </c>
      <c r="Z360" s="2">
        <v>129</v>
      </c>
      <c r="AA360" s="8">
        <f>Table2[[#This Row],[HOME MARGIN]]/Table2[[#This Row],[HOME GAMES]]</f>
        <v>7.1363636363636367</v>
      </c>
      <c r="AB360" s="8">
        <f>Table2[[#This Row],[AWAY MARGIN]]/Table2[[#This Row],[AWAY GAMES]]</f>
        <v>-6.9391891891891895</v>
      </c>
      <c r="AC360" s="8">
        <f>Table2[[#This Row],[HOME MARGIN/GAME]]-Table2[[#This Row],[AWAY MARGIN/GAME]]</f>
        <v>14.075552825552826</v>
      </c>
      <c r="AD360" s="23">
        <f>Table2[[#This Row],[HOME W/L%]]-Table2[[#This Row],[AWAY W/L%]]</f>
        <v>0.38499999999999995</v>
      </c>
      <c r="AE360" s="22"/>
      <c r="AF360"/>
    </row>
    <row r="361" spans="1:32" hidden="1" x14ac:dyDescent="0.2">
      <c r="A361" s="1">
        <v>64</v>
      </c>
      <c r="B361" s="1"/>
      <c r="C361" s="2" t="s">
        <v>40</v>
      </c>
      <c r="D361" s="2" t="str">
        <f>IF(COUNTIF($AG$3:$AG$20,C361)&gt;0,$AG$2,
 IF(COUNTIF($AH$3:$AH$20,C361)&gt;0,$AH$2,
 IF(COUNTIF($AI$3:$AI$20,C361)&gt;0,$AI$2,
 IF(COUNTIF($AJ$3:$AJ$20,C361)&gt;0,$AJ$2,
 IF(COUNTIF($AK$3:$AK$20,C361)&gt;0,$AK$2,
 IF(COUNTIF($AL$3:$AL$20,C361)&gt;0,$AL$2,
 IF(COUNTIF($AM$3:$AM$20,C361)&gt;0,$AM$2,"Not Found")))))))</f>
        <v>Not Found</v>
      </c>
      <c r="E361" s="2" t="s">
        <v>10</v>
      </c>
      <c r="F361" s="2" t="s">
        <v>11</v>
      </c>
      <c r="G361" s="2">
        <v>142</v>
      </c>
      <c r="H361" s="2">
        <v>1798</v>
      </c>
      <c r="I361" s="2">
        <v>142</v>
      </c>
      <c r="J361" s="2">
        <v>113</v>
      </c>
      <c r="K361" s="4">
        <v>0.81699999999999995</v>
      </c>
      <c r="L361" s="4">
        <v>0.52800000000000002</v>
      </c>
      <c r="M361" s="2">
        <v>112.1</v>
      </c>
      <c r="N361" s="2">
        <v>105.5</v>
      </c>
      <c r="O361" s="2">
        <v>95.2</v>
      </c>
      <c r="P361" s="2">
        <v>104.4</v>
      </c>
      <c r="Q361" s="4">
        <v>0.59</v>
      </c>
      <c r="R361" s="4">
        <v>0.56499999999999995</v>
      </c>
      <c r="S361" s="4">
        <v>0.51200000000000001</v>
      </c>
      <c r="T361" s="4">
        <v>0.55000000000000004</v>
      </c>
      <c r="U361" s="19">
        <f>Table2[[#This Row],[NET PF]]/Table2[[#This Row],[HOME GAMES]]</f>
        <v>-3.563380281690141</v>
      </c>
      <c r="V361" s="28">
        <f>393/Table2[[#This Row],[AWAY GAMES]]</f>
        <v>2.767605633802817</v>
      </c>
      <c r="W361" s="4">
        <v>0.69099999999999995</v>
      </c>
      <c r="X361" s="4">
        <v>0.72099999999999997</v>
      </c>
      <c r="Y361" s="2">
        <v>-506</v>
      </c>
      <c r="Z361" s="2">
        <v>-78</v>
      </c>
      <c r="AA361" s="8">
        <f>Table2[[#This Row],[HOME MARGIN]]/Table2[[#This Row],[HOME GAMES]]</f>
        <v>12.661971830985916</v>
      </c>
      <c r="AB361" s="8">
        <f>Table2[[#This Row],[AWAY MARGIN]]/Table2[[#This Row],[AWAY GAMES]]</f>
        <v>0.79577464788732399</v>
      </c>
      <c r="AC361" s="8">
        <f>Table2[[#This Row],[HOME MARGIN/GAME]]-Table2[[#This Row],[AWAY MARGIN/GAME]]</f>
        <v>11.866197183098592</v>
      </c>
      <c r="AD361" s="23">
        <f>Table2[[#This Row],[HOME W/L%]]-Table2[[#This Row],[AWAY W/L%]]</f>
        <v>0.28899999999999992</v>
      </c>
      <c r="AE361" s="22"/>
      <c r="AF361"/>
    </row>
    <row r="362" spans="1:32" x14ac:dyDescent="0.2">
      <c r="A362" s="1">
        <v>70</v>
      </c>
      <c r="B362" s="1">
        <v>39</v>
      </c>
      <c r="C362" s="2" t="s">
        <v>78</v>
      </c>
      <c r="D362" s="2" t="str">
        <f>IF(COUNTIF($AG$3:$AG$20,C362)&gt;0,$AG$2,
 IF(COUNTIF($AH$3:$AH$20,C362)&gt;0,$AH$2,
 IF(COUNTIF($AI$3:$AI$20,C362)&gt;0,$AI$2,
 IF(COUNTIF($AJ$3:$AJ$20,C362)&gt;0,$AJ$2,
 IF(COUNTIF($AK$3:$AK$20,C362)&gt;0,$AK$2,
 IF(COUNTIF($AL$3:$AL$20,C362)&gt;0,$AL$2,
 IF(COUNTIF($AM$3:$AM$20,C362)&gt;0,$AM$2,"Not Found")))))))</f>
        <v>Big 10</v>
      </c>
      <c r="E362" s="2" t="s">
        <v>10</v>
      </c>
      <c r="F362" s="2" t="s">
        <v>11</v>
      </c>
      <c r="G362" s="2">
        <v>165</v>
      </c>
      <c r="H362" s="2">
        <v>1737</v>
      </c>
      <c r="I362" s="2">
        <v>113</v>
      </c>
      <c r="J362" s="2">
        <v>-134</v>
      </c>
      <c r="K362" s="4">
        <v>0.76400000000000001</v>
      </c>
      <c r="L362" s="4">
        <v>0.496</v>
      </c>
      <c r="M362" s="2">
        <v>110.2</v>
      </c>
      <c r="N362" s="2">
        <v>101</v>
      </c>
      <c r="O362" s="2">
        <v>94.5</v>
      </c>
      <c r="P362" s="2">
        <v>102.7</v>
      </c>
      <c r="Q362" s="4">
        <v>0.56000000000000005</v>
      </c>
      <c r="R362" s="4">
        <v>0.52</v>
      </c>
      <c r="S362" s="4">
        <v>0.50900000000000001</v>
      </c>
      <c r="T362" s="4">
        <v>0.53200000000000003</v>
      </c>
      <c r="U362" s="19">
        <f>Table2[[#This Row],[NET PF]]/Table2[[#This Row],[HOME GAMES]]</f>
        <v>-3.6787878787878787</v>
      </c>
      <c r="V362" s="28">
        <f>393/Table2[[#This Row],[AWAY GAMES]]</f>
        <v>3.4778761061946901</v>
      </c>
      <c r="W362" s="4">
        <v>0.70099999999999996</v>
      </c>
      <c r="X362" s="4">
        <v>0.71099999999999997</v>
      </c>
      <c r="Y362" s="2">
        <v>-607</v>
      </c>
      <c r="Z362" s="2">
        <v>68</v>
      </c>
      <c r="AA362" s="8">
        <f>Table2[[#This Row],[HOME MARGIN]]/Table2[[#This Row],[HOME GAMES]]</f>
        <v>10.527272727272727</v>
      </c>
      <c r="AB362" s="8">
        <f>Table2[[#This Row],[AWAY MARGIN]]/Table2[[#This Row],[AWAY GAMES]]</f>
        <v>-1.1858407079646018</v>
      </c>
      <c r="AC362" s="8">
        <f>Table2[[#This Row],[HOME MARGIN/GAME]]-Table2[[#This Row],[AWAY MARGIN/GAME]]</f>
        <v>11.713113435237329</v>
      </c>
      <c r="AD362" s="23">
        <f>Table2[[#This Row],[HOME W/L%]]-Table2[[#This Row],[AWAY W/L%]]</f>
        <v>0.26800000000000002</v>
      </c>
      <c r="AE362" s="22"/>
      <c r="AF362"/>
    </row>
    <row r="363" spans="1:32" hidden="1" x14ac:dyDescent="0.2">
      <c r="A363" s="1">
        <v>60</v>
      </c>
      <c r="B363" s="1"/>
      <c r="C363" s="2" t="s">
        <v>101</v>
      </c>
      <c r="D363" s="2" t="str">
        <f>IF(COUNTIF($AG$3:$AG$20,C363)&gt;0,$AG$2,
 IF(COUNTIF($AH$3:$AH$20,C363)&gt;0,$AH$2,
 IF(COUNTIF($AI$3:$AI$20,C363)&gt;0,$AI$2,
 IF(COUNTIF($AJ$3:$AJ$20,C363)&gt;0,$AJ$2,
 IF(COUNTIF($AK$3:$AK$20,C363)&gt;0,$AK$2,
 IF(COUNTIF($AL$3:$AL$20,C363)&gt;0,$AL$2,
 IF(COUNTIF($AM$3:$AM$20,C363)&gt;0,$AM$2,"Not Found")))))))</f>
        <v>Not Found</v>
      </c>
      <c r="E363" s="2" t="s">
        <v>10</v>
      </c>
      <c r="F363" s="2" t="s">
        <v>11</v>
      </c>
      <c r="G363" s="2">
        <v>142</v>
      </c>
      <c r="H363" s="2">
        <v>1852</v>
      </c>
      <c r="I363" s="2">
        <v>147</v>
      </c>
      <c r="J363" s="2">
        <v>-254</v>
      </c>
      <c r="K363" s="4">
        <v>0.76800000000000002</v>
      </c>
      <c r="L363" s="4">
        <v>0.42899999999999999</v>
      </c>
      <c r="M363" s="2">
        <v>118.1</v>
      </c>
      <c r="N363" s="2">
        <v>103.5</v>
      </c>
      <c r="O363" s="2">
        <v>99.3</v>
      </c>
      <c r="P363" s="2">
        <v>106</v>
      </c>
      <c r="Q363" s="4">
        <v>0.61099999999999999</v>
      </c>
      <c r="R363" s="4">
        <v>0.54300000000000004</v>
      </c>
      <c r="S363" s="4">
        <v>0.53700000000000003</v>
      </c>
      <c r="T363" s="4">
        <v>0.56200000000000006</v>
      </c>
      <c r="U363" s="19">
        <f>Table2[[#This Row],[NET PF]]/Table2[[#This Row],[HOME GAMES]]</f>
        <v>-1.6056338028169015</v>
      </c>
      <c r="V363" s="28">
        <f>393/Table2[[#This Row],[AWAY GAMES]]</f>
        <v>2.6734693877551021</v>
      </c>
      <c r="W363" s="4">
        <v>0.71899999999999997</v>
      </c>
      <c r="X363" s="4">
        <v>0.70899999999999996</v>
      </c>
      <c r="Y363" s="2">
        <v>-228</v>
      </c>
      <c r="Z363" s="2">
        <v>227</v>
      </c>
      <c r="AA363" s="8">
        <f>Table2[[#This Row],[HOME MARGIN]]/Table2[[#This Row],[HOME GAMES]]</f>
        <v>13.04225352112676</v>
      </c>
      <c r="AB363" s="8">
        <f>Table2[[#This Row],[AWAY MARGIN]]/Table2[[#This Row],[AWAY GAMES]]</f>
        <v>-1.727891156462585</v>
      </c>
      <c r="AC363" s="8">
        <f>Table2[[#This Row],[HOME MARGIN/GAME]]-Table2[[#This Row],[AWAY MARGIN/GAME]]</f>
        <v>14.770144677589345</v>
      </c>
      <c r="AD363" s="23">
        <f>Table2[[#This Row],[HOME W/L%]]-Table2[[#This Row],[AWAY W/L%]]</f>
        <v>0.33900000000000002</v>
      </c>
      <c r="AE363" s="22"/>
      <c r="AF363"/>
    </row>
    <row r="364" spans="1:32" hidden="1" x14ac:dyDescent="0.2">
      <c r="A364" s="1">
        <v>75</v>
      </c>
      <c r="B364" s="1"/>
      <c r="C364" s="2" t="s">
        <v>48</v>
      </c>
      <c r="D364" s="2" t="str">
        <f>IF(COUNTIF($AG$3:$AG$20,C364)&gt;0,$AG$2,
 IF(COUNTIF($AH$3:$AH$20,C364)&gt;0,$AH$2,
 IF(COUNTIF($AI$3:$AI$20,C364)&gt;0,$AI$2,
 IF(COUNTIF($AJ$3:$AJ$20,C364)&gt;0,$AJ$2,
 IF(COUNTIF($AK$3:$AK$20,C364)&gt;0,$AK$2,
 IF(COUNTIF($AL$3:$AL$20,C364)&gt;0,$AL$2,
 IF(COUNTIF($AM$3:$AM$20,C364)&gt;0,$AM$2,"Not Found")))))))</f>
        <v>Not Found</v>
      </c>
      <c r="E364" s="2" t="s">
        <v>10</v>
      </c>
      <c r="F364" s="2" t="s">
        <v>11</v>
      </c>
      <c r="G364" s="2">
        <v>148</v>
      </c>
      <c r="H364" s="2">
        <v>1723</v>
      </c>
      <c r="I364" s="2">
        <v>134</v>
      </c>
      <c r="J364" s="2">
        <v>29</v>
      </c>
      <c r="K364" s="4">
        <v>0.77</v>
      </c>
      <c r="L364" s="4">
        <v>0.50700000000000001</v>
      </c>
      <c r="M364" s="2">
        <v>110.5</v>
      </c>
      <c r="N364" s="2">
        <v>103.8</v>
      </c>
      <c r="O364" s="2">
        <v>94.3</v>
      </c>
      <c r="P364" s="2">
        <v>103.5</v>
      </c>
      <c r="Q364" s="4">
        <v>0.57899999999999996</v>
      </c>
      <c r="R364" s="4">
        <v>0.54800000000000004</v>
      </c>
      <c r="S364" s="4">
        <v>0.51200000000000001</v>
      </c>
      <c r="T364" s="4">
        <v>0.54700000000000004</v>
      </c>
      <c r="U364" s="19">
        <f>Table2[[#This Row],[NET PF]]/Table2[[#This Row],[HOME GAMES]]</f>
        <v>-3.8986486486486487</v>
      </c>
      <c r="V364" s="28">
        <f>393/Table2[[#This Row],[AWAY GAMES]]</f>
        <v>2.9328358208955225</v>
      </c>
      <c r="W364" s="4">
        <v>0.69</v>
      </c>
      <c r="X364" s="4">
        <v>0.71299999999999997</v>
      </c>
      <c r="Y364" s="2">
        <v>-577</v>
      </c>
      <c r="Z364" s="2">
        <v>-2</v>
      </c>
      <c r="AA364" s="8">
        <f>Table2[[#This Row],[HOME MARGIN]]/Table2[[#This Row],[HOME GAMES]]</f>
        <v>11.641891891891891</v>
      </c>
      <c r="AB364" s="8">
        <f>Table2[[#This Row],[AWAY MARGIN]]/Table2[[#This Row],[AWAY GAMES]]</f>
        <v>0.21641791044776118</v>
      </c>
      <c r="AC364" s="8">
        <f>Table2[[#This Row],[HOME MARGIN/GAME]]-Table2[[#This Row],[AWAY MARGIN/GAME]]</f>
        <v>11.42547398144413</v>
      </c>
      <c r="AD364" s="23">
        <f>Table2[[#This Row],[HOME W/L%]]-Table2[[#This Row],[AWAY W/L%]]</f>
        <v>0.26300000000000001</v>
      </c>
      <c r="AE364" s="22"/>
      <c r="AF364"/>
    </row>
    <row r="365" spans="1:32" hidden="1" x14ac:dyDescent="0.2">
      <c r="A365" s="1">
        <v>294</v>
      </c>
      <c r="B365" s="1"/>
      <c r="C365" s="2" t="s">
        <v>339</v>
      </c>
      <c r="D365" s="2" t="str">
        <f>IF(COUNTIF($AG$3:$AG$20,C365)&gt;0,$AG$2,
 IF(COUNTIF($AH$3:$AH$20,C365)&gt;0,$AH$2,
 IF(COUNTIF($AI$3:$AI$20,C365)&gt;0,$AI$2,
 IF(COUNTIF($AJ$3:$AJ$20,C365)&gt;0,$AJ$2,
 IF(COUNTIF($AK$3:$AK$20,C365)&gt;0,$AK$2,
 IF(COUNTIF($AL$3:$AL$20,C365)&gt;0,$AL$2,
 IF(COUNTIF($AM$3:$AM$20,C365)&gt;0,$AM$2,"Not Found")))))))</f>
        <v>Not Found</v>
      </c>
      <c r="E365" s="2" t="s">
        <v>10</v>
      </c>
      <c r="F365" s="2" t="s">
        <v>11</v>
      </c>
      <c r="G365" s="2">
        <v>154</v>
      </c>
      <c r="H365" s="2">
        <v>534</v>
      </c>
      <c r="I365" s="2">
        <v>116</v>
      </c>
      <c r="J365" s="2">
        <v>-860</v>
      </c>
      <c r="K365" s="4">
        <v>0.59699999999999998</v>
      </c>
      <c r="L365" s="4">
        <v>0.30199999999999999</v>
      </c>
      <c r="M365" s="2">
        <v>104.8</v>
      </c>
      <c r="N365" s="2">
        <v>96.3</v>
      </c>
      <c r="O365" s="2">
        <v>100</v>
      </c>
      <c r="P365" s="2">
        <v>106.9</v>
      </c>
      <c r="Q365" s="4">
        <v>0.56899999999999995</v>
      </c>
      <c r="R365" s="4">
        <v>0.53100000000000003</v>
      </c>
      <c r="S365" s="4">
        <v>0.53</v>
      </c>
      <c r="T365" s="4">
        <v>0.55500000000000005</v>
      </c>
      <c r="U365" s="19">
        <f>Table2[[#This Row],[NET PF]]/Table2[[#This Row],[HOME GAMES]]</f>
        <v>-2.4025974025974026</v>
      </c>
      <c r="V365" s="28">
        <f>393/Table2[[#This Row],[AWAY GAMES]]</f>
        <v>3.3879310344827585</v>
      </c>
      <c r="W365" s="4">
        <v>0.72</v>
      </c>
      <c r="X365" s="4">
        <v>0.72399999999999998</v>
      </c>
      <c r="Y365" s="2">
        <v>-370</v>
      </c>
      <c r="Z365" s="2">
        <v>43</v>
      </c>
      <c r="AA365" s="8">
        <f>Table2[[#This Row],[HOME MARGIN]]/Table2[[#This Row],[HOME GAMES]]</f>
        <v>3.4675324675324677</v>
      </c>
      <c r="AB365" s="8">
        <f>Table2[[#This Row],[AWAY MARGIN]]/Table2[[#This Row],[AWAY GAMES]]</f>
        <v>-7.4137931034482758</v>
      </c>
      <c r="AC365" s="8">
        <f>Table2[[#This Row],[HOME MARGIN/GAME]]-Table2[[#This Row],[AWAY MARGIN/GAME]]</f>
        <v>10.881325570980744</v>
      </c>
      <c r="AD365" s="23">
        <f>Table2[[#This Row],[HOME W/L%]]-Table2[[#This Row],[AWAY W/L%]]</f>
        <v>0.29499999999999998</v>
      </c>
      <c r="AE365" s="22"/>
      <c r="AF365"/>
    </row>
    <row r="366" spans="1:32" x14ac:dyDescent="0.2">
      <c r="A366" s="1">
        <v>73</v>
      </c>
      <c r="B366" s="1">
        <v>41</v>
      </c>
      <c r="C366" s="2" t="s">
        <v>82</v>
      </c>
      <c r="D366" s="2" t="str">
        <f>IF(COUNTIF($AG$3:$AG$20,C366)&gt;0,$AG$2,
 IF(COUNTIF($AH$3:$AH$20,C366)&gt;0,$AH$2,
 IF(COUNTIF($AI$3:$AI$20,C366)&gt;0,$AI$2,
 IF(COUNTIF($AJ$3:$AJ$20,C366)&gt;0,$AJ$2,
 IF(COUNTIF($AK$3:$AK$20,C366)&gt;0,$AK$2,
 IF(COUNTIF($AL$3:$AL$20,C366)&gt;0,$AL$2,
 IF(COUNTIF($AM$3:$AM$20,C366)&gt;0,$AM$2,"Not Found")))))))</f>
        <v>Big East</v>
      </c>
      <c r="E366" s="2" t="s">
        <v>10</v>
      </c>
      <c r="F366" s="2" t="s">
        <v>11</v>
      </c>
      <c r="G366" s="2">
        <v>167</v>
      </c>
      <c r="H366" s="2">
        <v>1728</v>
      </c>
      <c r="I366" s="2">
        <v>107</v>
      </c>
      <c r="J366" s="2">
        <v>-156</v>
      </c>
      <c r="K366" s="4">
        <v>0.79600000000000004</v>
      </c>
      <c r="L366" s="4">
        <v>0.47699999999999998</v>
      </c>
      <c r="M366" s="2">
        <v>110.8</v>
      </c>
      <c r="N366" s="2">
        <v>102.5</v>
      </c>
      <c r="O366" s="2">
        <v>96.4</v>
      </c>
      <c r="P366" s="2">
        <v>104.6</v>
      </c>
      <c r="Q366" s="4">
        <v>0.57199999999999995</v>
      </c>
      <c r="R366" s="4">
        <v>0.53900000000000003</v>
      </c>
      <c r="S366" s="4">
        <v>0.51100000000000001</v>
      </c>
      <c r="T366" s="4">
        <v>0.54500000000000004</v>
      </c>
      <c r="U366" s="19">
        <f>Table2[[#This Row],[NET PF]]/Table2[[#This Row],[HOME GAMES]]</f>
        <v>-3.8862275449101795</v>
      </c>
      <c r="V366" s="28">
        <f>393/Table2[[#This Row],[AWAY GAMES]]</f>
        <v>3.6728971962616823</v>
      </c>
      <c r="W366" s="4">
        <v>0.71199999999999997</v>
      </c>
      <c r="X366" s="4">
        <v>0.73</v>
      </c>
      <c r="Y366" s="2">
        <v>-649</v>
      </c>
      <c r="Z366" s="2">
        <v>-4</v>
      </c>
      <c r="AA366" s="8">
        <f>Table2[[#This Row],[HOME MARGIN]]/Table2[[#This Row],[HOME GAMES]]</f>
        <v>10.347305389221557</v>
      </c>
      <c r="AB366" s="8">
        <f>Table2[[#This Row],[AWAY MARGIN]]/Table2[[#This Row],[AWAY GAMES]]</f>
        <v>-1.4579439252336448</v>
      </c>
      <c r="AC366" s="8">
        <f>Table2[[#This Row],[HOME MARGIN/GAME]]-Table2[[#This Row],[AWAY MARGIN/GAME]]</f>
        <v>11.805249314455201</v>
      </c>
      <c r="AD366" s="23">
        <f>Table2[[#This Row],[HOME W/L%]]-Table2[[#This Row],[AWAY W/L%]]</f>
        <v>0.31900000000000006</v>
      </c>
      <c r="AE366" s="22"/>
      <c r="AF366"/>
    </row>
    <row r="367" spans="1:32" hidden="1" x14ac:dyDescent="0.2">
      <c r="A367" s="1">
        <v>78</v>
      </c>
      <c r="B367" s="1"/>
      <c r="C367" s="2" t="s">
        <v>25</v>
      </c>
      <c r="D367" s="2" t="str">
        <f t="shared" ref="D367:D368" si="1">IF(COUNTIF($AG$3:$AG$20,C367)&gt;0,$AG$2,
 IF(COUNTIF($AH$3:$AH$20,C367)&gt;0,$AH$2,
 IF(COUNTIF($AI$3:$AI$20,C367)&gt;0,$AI$2,
 IF(COUNTIF($AJ$3:$AJ$20,C367)&gt;0,$AJ$2,
 IF(COUNTIF($AK$3:$AK$20,C367)&gt;0,$AK$2,
 IF(COUNTIF($AL$3:$AL$20,C367)&gt;0,$AL$2,
 IF(COUNTIF($AM$3:$AM$20,C367)&gt;0,$AM$2,"Not Found")))))))</f>
        <v>Not Found</v>
      </c>
      <c r="E367" s="2" t="s">
        <v>10</v>
      </c>
      <c r="F367" s="2" t="s">
        <v>11</v>
      </c>
      <c r="G367" s="2">
        <v>106</v>
      </c>
      <c r="H367" s="2">
        <v>1710</v>
      </c>
      <c r="I367" s="2">
        <v>131</v>
      </c>
      <c r="J367" s="2">
        <v>256</v>
      </c>
      <c r="K367" s="4">
        <v>0.85799999999999998</v>
      </c>
      <c r="L367" s="4">
        <v>0.55000000000000004</v>
      </c>
      <c r="M367" s="2">
        <v>114.5</v>
      </c>
      <c r="N367" s="2">
        <v>103.3</v>
      </c>
      <c r="O367" s="2">
        <v>91.7</v>
      </c>
      <c r="P367" s="2">
        <v>100.5</v>
      </c>
      <c r="Q367" s="4">
        <v>0.59</v>
      </c>
      <c r="R367" s="4">
        <v>0.54700000000000004</v>
      </c>
      <c r="S367" s="4">
        <v>0.5</v>
      </c>
      <c r="T367" s="4">
        <v>0.52400000000000002</v>
      </c>
      <c r="U367" s="19">
        <f>Table2[[#This Row],[NET PF]]/Table2[[#This Row],[HOME GAMES]]</f>
        <v>-2.2547169811320753</v>
      </c>
      <c r="V367" s="28">
        <f>393/Table2[[#This Row],[AWAY GAMES]]</f>
        <v>3</v>
      </c>
      <c r="W367" s="4">
        <v>0.68799999999999994</v>
      </c>
      <c r="X367" s="4">
        <v>0.72799999999999998</v>
      </c>
      <c r="Y367" s="2">
        <v>-239</v>
      </c>
      <c r="Z367" s="2">
        <v>-18</v>
      </c>
      <c r="AA367" s="8">
        <f>Table2[[#This Row],[HOME MARGIN]]/Table2[[#This Row],[HOME GAMES]]</f>
        <v>16.132075471698112</v>
      </c>
      <c r="AB367" s="8">
        <f>Table2[[#This Row],[AWAY MARGIN]]/Table2[[#This Row],[AWAY GAMES]]</f>
        <v>1.9541984732824427</v>
      </c>
      <c r="AC367" s="8">
        <f>Table2[[#This Row],[HOME MARGIN/GAME]]-Table2[[#This Row],[AWAY MARGIN/GAME]]</f>
        <v>14.17787699841567</v>
      </c>
      <c r="AD367" s="23">
        <f>Table2[[#This Row],[HOME W/L%]]-Table2[[#This Row],[AWAY W/L%]]</f>
        <v>0.30799999999999994</v>
      </c>
      <c r="AE367" s="22">
        <f>Table2[[#This Row],[HOME W/L%]]-Table2[[#This Row],[AWAY W/L%]]</f>
        <v>0.30799999999999994</v>
      </c>
      <c r="AF367"/>
    </row>
    <row r="368" spans="1:32" hidden="1" x14ac:dyDescent="0.2">
      <c r="A368" s="1">
        <v>161</v>
      </c>
      <c r="B368" s="1"/>
      <c r="C368" s="2" t="s">
        <v>344</v>
      </c>
      <c r="D368" s="2" t="str">
        <f t="shared" si="1"/>
        <v>Not Found</v>
      </c>
      <c r="E368" s="2" t="s">
        <v>10</v>
      </c>
      <c r="F368" s="2" t="s">
        <v>11</v>
      </c>
      <c r="G368" s="2">
        <v>146</v>
      </c>
      <c r="H368" s="2">
        <v>1201</v>
      </c>
      <c r="I368" s="2">
        <v>143</v>
      </c>
      <c r="J368" s="2">
        <v>-829</v>
      </c>
      <c r="K368" s="4">
        <v>0.64400000000000002</v>
      </c>
      <c r="L368" s="4">
        <v>0.38500000000000001</v>
      </c>
      <c r="M368" s="2">
        <v>110.4</v>
      </c>
      <c r="N368" s="2">
        <v>100.1</v>
      </c>
      <c r="O368" s="2">
        <v>99.2</v>
      </c>
      <c r="P368" s="2">
        <v>108.1</v>
      </c>
      <c r="Q368" s="4">
        <v>0.55600000000000005</v>
      </c>
      <c r="R368" s="4">
        <v>0.51700000000000002</v>
      </c>
      <c r="S368" s="4">
        <v>0.53100000000000003</v>
      </c>
      <c r="T368" s="4">
        <v>0.56200000000000006</v>
      </c>
      <c r="U368" s="19">
        <f>Table2[[#This Row],[NET PF]]/Table2[[#This Row],[HOME GAMES]]</f>
        <v>-1.2191780821917808</v>
      </c>
      <c r="V368" s="28">
        <f>393/Table2[[#This Row],[AWAY GAMES]]</f>
        <v>2.7482517482517483</v>
      </c>
      <c r="W368" s="4">
        <v>0.70699999999999996</v>
      </c>
      <c r="X368" s="4">
        <v>0.70799999999999996</v>
      </c>
      <c r="Y368" s="2">
        <v>-178</v>
      </c>
      <c r="Z368" s="2">
        <v>322</v>
      </c>
      <c r="AA368" s="8">
        <f>Table2[[#This Row],[HOME MARGIN]]/Table2[[#This Row],[HOME GAMES]]</f>
        <v>8.2260273972602747</v>
      </c>
      <c r="AB368" s="8">
        <f>Table2[[#This Row],[AWAY MARGIN]]/Table2[[#This Row],[AWAY GAMES]]</f>
        <v>-5.7972027972027975</v>
      </c>
      <c r="AC368" s="8">
        <f>Table2[[#This Row],[HOME MARGIN/GAME]]-Table2[[#This Row],[AWAY MARGIN/GAME]]</f>
        <v>14.023230194463071</v>
      </c>
      <c r="AD368" s="23">
        <f>Table2[[#This Row],[HOME W/L%]]-Table2[[#This Row],[AWAY W/L%]]</f>
        <v>0.25900000000000001</v>
      </c>
      <c r="AE368" s="22">
        <f>Table2[[#This Row],[HOME W/L%]]-Table2[[#This Row],[AWAY W/L%]]</f>
        <v>0.25900000000000001</v>
      </c>
      <c r="AF368"/>
    </row>
    <row r="373" spans="34:35" x14ac:dyDescent="0.2">
      <c r="AH373" s="18"/>
      <c r="AI373" s="18"/>
    </row>
  </sheetData>
  <mergeCells count="2">
    <mergeCell ref="AG1:AK1"/>
    <mergeCell ref="AG110:AI110"/>
  </mergeCells>
  <phoneticPr fontId="20" type="noConversion"/>
  <pageMargins left="0.75" right="0.75" top="1" bottom="1" header="0.5" footer="0.5"/>
  <pageSetup orientation="portrait" horizontalDpi="0" verticalDpi="0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A16F-3A49-A44B-9E5A-327C6315E03C}">
  <dimension ref="A1:AD368"/>
  <sheetViews>
    <sheetView workbookViewId="0">
      <selection activeCell="T12" sqref="T12"/>
    </sheetView>
  </sheetViews>
  <sheetFormatPr baseColWidth="10" defaultColWidth="8.83203125" defaultRowHeight="16" x14ac:dyDescent="0.2"/>
  <cols>
    <col min="1" max="1" width="8" bestFit="1" customWidth="1"/>
    <col min="2" max="2" width="18.6640625" bestFit="1" customWidth="1"/>
    <col min="3" max="3" width="18.6640625" customWidth="1"/>
    <col min="4" max="4" width="9.6640625" bestFit="1" customWidth="1"/>
    <col min="5" max="5" width="7.83203125" bestFit="1" customWidth="1"/>
    <col min="6" max="6" width="7.1640625" bestFit="1" customWidth="1"/>
    <col min="7" max="7" width="10.33203125" style="5" bestFit="1" customWidth="1"/>
    <col min="8" max="8" width="13.83203125" bestFit="1" customWidth="1"/>
    <col min="9" max="9" width="9.6640625" bestFit="1" customWidth="1"/>
    <col min="10" max="10" width="9.5" bestFit="1" customWidth="1"/>
    <col min="11" max="11" width="9.1640625" style="5" bestFit="1" customWidth="1"/>
    <col min="12" max="12" width="12.33203125" style="5" bestFit="1" customWidth="1"/>
    <col min="13" max="13" width="10.83203125" bestFit="1" customWidth="1"/>
    <col min="14" max="14" width="12.33203125" style="5" bestFit="1" customWidth="1"/>
    <col min="15" max="15" width="13.5" style="9" bestFit="1" customWidth="1"/>
    <col min="17" max="17" width="21.6640625" bestFit="1" customWidth="1"/>
    <col min="18" max="18" width="12.83203125" bestFit="1" customWidth="1"/>
  </cols>
  <sheetData>
    <row r="1" spans="1:30" x14ac:dyDescent="0.2">
      <c r="A1" s="1" t="s">
        <v>0</v>
      </c>
      <c r="B1" s="1" t="s">
        <v>1</v>
      </c>
      <c r="C1" s="1" t="s">
        <v>405</v>
      </c>
      <c r="D1" s="1" t="s">
        <v>2</v>
      </c>
      <c r="E1" s="1" t="s">
        <v>3</v>
      </c>
      <c r="F1" s="1" t="s">
        <v>7</v>
      </c>
      <c r="G1" s="3" t="s">
        <v>8</v>
      </c>
      <c r="H1" s="1" t="s">
        <v>384</v>
      </c>
      <c r="I1" s="1" t="s">
        <v>4</v>
      </c>
      <c r="J1" s="1" t="s">
        <v>5</v>
      </c>
      <c r="K1" s="3" t="s">
        <v>6</v>
      </c>
      <c r="L1" s="3" t="s">
        <v>385</v>
      </c>
      <c r="M1" s="1" t="s">
        <v>386</v>
      </c>
      <c r="N1" s="3" t="s">
        <v>387</v>
      </c>
      <c r="O1" s="7" t="s">
        <v>388</v>
      </c>
    </row>
    <row r="2" spans="1:30" hidden="1" x14ac:dyDescent="0.2">
      <c r="A2" s="1">
        <v>188</v>
      </c>
      <c r="B2" s="2" t="s">
        <v>204</v>
      </c>
      <c r="C2" s="2" t="str">
        <f t="shared" ref="C2:C65" si="0">IF(COUNTIF($X$3:$X$20,B2)&gt;0,$X$2,
 IF(COUNTIF($Y$3:$Y$20,B2)&gt;0,$Y$2,
 IF(COUNTIF($Z$3:$Z$20,B2)&gt;0,$Z$2,
 IF(COUNTIF($AA$3:$AA$20,B2)&gt;0,$AA$2,
 IF(COUNTIF($AB$3:$AB$20,B2)&gt;0,$AB$2,
 IF(COUNTIF($AC$3:$AC$20,B2)&gt;0,$AC$2,
 IF(COUNTIF($AD$3:$AD$20,B2)&gt;0,$AD$2,
 "Not Found")))))))</f>
        <v>Not Found</v>
      </c>
      <c r="D2" s="2" t="s">
        <v>10</v>
      </c>
      <c r="E2" s="2" t="s">
        <v>11</v>
      </c>
      <c r="F2" s="2">
        <v>134</v>
      </c>
      <c r="G2" s="4">
        <v>0.40300000000000002</v>
      </c>
      <c r="H2" s="2">
        <v>-622</v>
      </c>
      <c r="I2" s="2">
        <v>97.3</v>
      </c>
      <c r="J2" s="2">
        <v>103.8</v>
      </c>
      <c r="K2" s="4">
        <v>0.52300000000000002</v>
      </c>
      <c r="L2" s="4">
        <v>0.57499999999999996</v>
      </c>
      <c r="M2" s="2">
        <v>393</v>
      </c>
      <c r="N2" s="4">
        <v>0.70799999999999996</v>
      </c>
      <c r="O2" s="8">
        <f>Table1[[#This Row],[PT MARGIN]]/Table1[[#This Row],[G]]</f>
        <v>-4.6417910447761193</v>
      </c>
      <c r="X2" s="11" t="s">
        <v>398</v>
      </c>
      <c r="Y2" s="11" t="s">
        <v>399</v>
      </c>
      <c r="Z2" s="11" t="s">
        <v>400</v>
      </c>
      <c r="AA2" s="11" t="s">
        <v>401</v>
      </c>
      <c r="AB2" s="11" t="s">
        <v>402</v>
      </c>
      <c r="AC2" s="11" t="s">
        <v>406</v>
      </c>
      <c r="AD2" s="11" t="s">
        <v>407</v>
      </c>
    </row>
    <row r="3" spans="1:30" hidden="1" x14ac:dyDescent="0.2">
      <c r="A3" s="1">
        <v>323</v>
      </c>
      <c r="B3" s="2" t="s">
        <v>261</v>
      </c>
      <c r="C3" s="2" t="str">
        <f t="shared" si="0"/>
        <v>Not Found</v>
      </c>
      <c r="D3" s="2" t="s">
        <v>10</v>
      </c>
      <c r="E3" s="2" t="s">
        <v>11</v>
      </c>
      <c r="F3" s="2">
        <v>124</v>
      </c>
      <c r="G3" s="4">
        <v>0.185</v>
      </c>
      <c r="H3" s="2">
        <v>-1380</v>
      </c>
      <c r="I3" s="2">
        <v>93.4</v>
      </c>
      <c r="J3" s="2">
        <v>110.1</v>
      </c>
      <c r="K3" s="4">
        <v>0.51400000000000001</v>
      </c>
      <c r="L3" s="4">
        <v>0.57899999999999996</v>
      </c>
      <c r="M3" s="2">
        <v>184</v>
      </c>
      <c r="N3" s="4">
        <v>0.73499999999999999</v>
      </c>
      <c r="O3" s="8">
        <f>Table1[[#This Row],[PT MARGIN]]/Table1[[#This Row],[G]]</f>
        <v>-11.129032258064516</v>
      </c>
      <c r="X3" s="12" t="s">
        <v>32</v>
      </c>
      <c r="Y3" s="10" t="s">
        <v>33</v>
      </c>
      <c r="Z3" s="10" t="s">
        <v>23</v>
      </c>
      <c r="AA3" s="10" t="s">
        <v>34</v>
      </c>
      <c r="AB3" s="10" t="s">
        <v>19</v>
      </c>
      <c r="AC3" s="10"/>
      <c r="AD3" s="10"/>
    </row>
    <row r="4" spans="1:30" hidden="1" x14ac:dyDescent="0.2">
      <c r="A4" s="1">
        <v>33</v>
      </c>
      <c r="B4" s="2" t="s">
        <v>43</v>
      </c>
      <c r="C4" s="2" t="str">
        <f t="shared" si="0"/>
        <v>Not Found</v>
      </c>
      <c r="D4" s="2" t="s">
        <v>10</v>
      </c>
      <c r="E4" s="2" t="s">
        <v>11</v>
      </c>
      <c r="F4" s="2">
        <v>117</v>
      </c>
      <c r="G4" s="4">
        <v>0.47899999999999998</v>
      </c>
      <c r="H4" s="2">
        <v>67</v>
      </c>
      <c r="I4" s="2">
        <v>103.8</v>
      </c>
      <c r="J4" s="2">
        <v>103</v>
      </c>
      <c r="K4" s="4">
        <v>0.54300000000000004</v>
      </c>
      <c r="L4" s="4">
        <v>0.53400000000000003</v>
      </c>
      <c r="M4" s="2">
        <v>150</v>
      </c>
      <c r="N4" s="4">
        <v>0.72099999999999997</v>
      </c>
      <c r="O4" s="8">
        <f>Table1[[#This Row],[PT MARGIN]]/Table1[[#This Row],[G]]</f>
        <v>0.57264957264957261</v>
      </c>
      <c r="X4" s="12" t="s">
        <v>184</v>
      </c>
      <c r="Y4" s="10" t="s">
        <v>169</v>
      </c>
      <c r="Z4" s="10" t="s">
        <v>14</v>
      </c>
      <c r="AA4" s="10" t="s">
        <v>70</v>
      </c>
      <c r="AB4" s="10" t="s">
        <v>361</v>
      </c>
      <c r="AC4" s="10"/>
      <c r="AD4" s="10"/>
    </row>
    <row r="5" spans="1:30" x14ac:dyDescent="0.2">
      <c r="A5" s="1">
        <v>60</v>
      </c>
      <c r="B5" s="2" t="s">
        <v>70</v>
      </c>
      <c r="C5" s="2" t="str">
        <f>IF(COUNTIF($X$3:$X$20,B5)&gt;0,$X$2,
 IF(COUNTIF($Y$3:$Y$20,B5)&gt;0,$Y$2,
 IF(COUNTIF($Z$3:$Z$20,B5)&gt;0,$Z$2,
 IF(COUNTIF($AA$3:$AA$20,B5)&gt;0,$AA$2,
 IF(COUNTIF($AB$3:$AB$20,B5)&gt;0,$AB$2,
 IF(COUNTIF($AC$3:$AC$20,B5)&gt;0,$AC$2,
 IF(COUNTIF($AD$3:$AD$20,B5)&gt;0,$AD$2,
 "Not Found")))))))</f>
        <v>SEC</v>
      </c>
      <c r="D5" s="2" t="s">
        <v>10</v>
      </c>
      <c r="E5" s="2" t="s">
        <v>11</v>
      </c>
      <c r="F5" s="2">
        <v>111</v>
      </c>
      <c r="G5" s="4">
        <v>0.47699999999999998</v>
      </c>
      <c r="H5" s="2">
        <v>-87</v>
      </c>
      <c r="I5" s="2">
        <v>102.6</v>
      </c>
      <c r="J5" s="2">
        <v>103.7</v>
      </c>
      <c r="K5" s="4">
        <v>0.54</v>
      </c>
      <c r="L5" s="4">
        <v>0.52800000000000002</v>
      </c>
      <c r="M5" s="2">
        <v>248</v>
      </c>
      <c r="N5" s="4">
        <v>0.71799999999999997</v>
      </c>
      <c r="O5" s="8">
        <f>Table1[[#This Row],[PT MARGIN]]/Table1[[#This Row],[G]]</f>
        <v>-0.78378378378378377</v>
      </c>
      <c r="X5" s="12" t="s">
        <v>60</v>
      </c>
      <c r="Y5" s="10" t="s">
        <v>76</v>
      </c>
      <c r="Z5" s="10" t="s">
        <v>182</v>
      </c>
      <c r="AA5" s="10" t="s">
        <v>46</v>
      </c>
      <c r="AB5" s="10" t="s">
        <v>50</v>
      </c>
      <c r="AC5" s="10"/>
      <c r="AD5" s="10"/>
    </row>
    <row r="6" spans="1:30" hidden="1" x14ac:dyDescent="0.2">
      <c r="A6" s="1">
        <v>360</v>
      </c>
      <c r="B6" s="2" t="s">
        <v>224</v>
      </c>
      <c r="C6" s="2" t="str">
        <f>IF(COUNTIF($X$3:$X$20,B6)&gt;0,$X$2,
 IF(COUNTIF($Y$3:$Y$20,B6)&gt;0,$Y$2,
 IF(COUNTIF($Z$3:$Z$20,B6)&gt;0,$Z$2,
 IF(COUNTIF($AA$3:$AA$20,B6)&gt;0,$AA$2,
 IF(COUNTIF($AB$3:$AB$20,B6)&gt;0,$AB$2,
 IF(COUNTIF($AC$3:$AC$20,B6)&gt;0,$AC$2,
 IF(COUNTIF($AD$3:$AD$20,B6)&gt;0,$AD$2,
 "Not Found")))))))</f>
        <v>Not Found</v>
      </c>
      <c r="D6" s="2" t="s">
        <v>10</v>
      </c>
      <c r="E6" s="2" t="s">
        <v>11</v>
      </c>
      <c r="F6" s="2">
        <v>159</v>
      </c>
      <c r="G6" s="4">
        <v>0.14499999999999999</v>
      </c>
      <c r="H6" s="2">
        <v>-2351</v>
      </c>
      <c r="I6" s="2">
        <v>87</v>
      </c>
      <c r="J6" s="2">
        <v>107.9</v>
      </c>
      <c r="K6" s="4">
        <v>0.47199999999999998</v>
      </c>
      <c r="L6" s="4">
        <v>0.56200000000000006</v>
      </c>
      <c r="M6" s="2">
        <v>299</v>
      </c>
      <c r="N6" s="4">
        <v>0.69399999999999995</v>
      </c>
      <c r="O6" s="8">
        <f>Table1[[#This Row],[PT MARGIN]]/Table1[[#This Row],[G]]</f>
        <v>-14.786163522012579</v>
      </c>
      <c r="X6" s="12" t="s">
        <v>200</v>
      </c>
      <c r="Y6" s="10" t="s">
        <v>136</v>
      </c>
      <c r="Z6" s="10" t="s">
        <v>35</v>
      </c>
      <c r="AA6" s="10" t="s">
        <v>47</v>
      </c>
      <c r="AB6" s="10" t="s">
        <v>154</v>
      </c>
      <c r="AC6" s="10"/>
      <c r="AD6" s="10"/>
    </row>
    <row r="7" spans="1:30" hidden="1" x14ac:dyDescent="0.2">
      <c r="A7" s="1">
        <v>355</v>
      </c>
      <c r="B7" s="2" t="s">
        <v>229</v>
      </c>
      <c r="C7" s="2" t="str">
        <f>IF(COUNTIF($X$3:$X$20,B7)&gt;0,$X$2,
 IF(COUNTIF($Y$3:$Y$20,B7)&gt;0,$Y$2,
 IF(COUNTIF($Z$3:$Z$20,B7)&gt;0,$Z$2,
 IF(COUNTIF($AA$3:$AA$20,B7)&gt;0,$AA$2,
 IF(COUNTIF($AB$3:$AB$20,B7)&gt;0,$AB$2,
 IF(COUNTIF($AC$3:$AC$20,B7)&gt;0,$AC$2,
 IF(COUNTIF($AD$3:$AD$20,B7)&gt;0,$AD$2,
 "Not Found")))))))</f>
        <v>Not Found</v>
      </c>
      <c r="D7" s="2" t="s">
        <v>10</v>
      </c>
      <c r="E7" s="2" t="s">
        <v>11</v>
      </c>
      <c r="F7" s="2">
        <v>161</v>
      </c>
      <c r="G7" s="4">
        <v>0.18</v>
      </c>
      <c r="H7" s="2">
        <v>-1907</v>
      </c>
      <c r="I7" s="2">
        <v>90.7</v>
      </c>
      <c r="J7" s="2">
        <v>107.3</v>
      </c>
      <c r="K7" s="4">
        <v>0.47599999999999998</v>
      </c>
      <c r="L7" s="4">
        <v>0.55900000000000005</v>
      </c>
      <c r="M7" s="2">
        <v>417</v>
      </c>
      <c r="N7" s="4">
        <v>0.69399999999999995</v>
      </c>
      <c r="O7" s="8">
        <f>Table1[[#This Row],[PT MARGIN]]/Table1[[#This Row],[G]]</f>
        <v>-11.844720496894411</v>
      </c>
      <c r="Q7" s="47"/>
      <c r="R7" s="48"/>
      <c r="X7" s="12" t="s">
        <v>75</v>
      </c>
      <c r="Y7" s="10" t="s">
        <v>133</v>
      </c>
      <c r="Z7" s="10" t="s">
        <v>216</v>
      </c>
      <c r="AA7" s="10" t="s">
        <v>368</v>
      </c>
      <c r="AB7" s="10" t="s">
        <v>97</v>
      </c>
      <c r="AC7" s="10"/>
      <c r="AD7" s="10"/>
    </row>
    <row r="8" spans="1:30" hidden="1" x14ac:dyDescent="0.2">
      <c r="A8" s="1">
        <v>113</v>
      </c>
      <c r="B8" s="2" t="s">
        <v>128</v>
      </c>
      <c r="C8" s="2" t="str">
        <f>IF(COUNTIF($X$3:$X$20,B8)&gt;0,$X$2,
 IF(COUNTIF($Y$3:$Y$20,B8)&gt;0,$Y$2,
 IF(COUNTIF($Z$3:$Z$20,B8)&gt;0,$Z$2,
 IF(COUNTIF($AA$3:$AA$20,B8)&gt;0,$AA$2,
 IF(COUNTIF($AB$3:$AB$20,B8)&gt;0,$AB$2,
 IF(COUNTIF($AC$3:$AC$20,B8)&gt;0,$AC$2,
 IF(COUNTIF($AD$3:$AD$20,B8)&gt;0,$AD$2,
 "Not Found")))))))</f>
        <v>Not Found</v>
      </c>
      <c r="D8" s="2" t="s">
        <v>10</v>
      </c>
      <c r="E8" s="2" t="s">
        <v>11</v>
      </c>
      <c r="F8" s="2">
        <v>148</v>
      </c>
      <c r="G8" s="4">
        <v>0.41899999999999998</v>
      </c>
      <c r="H8" s="2">
        <v>-354</v>
      </c>
      <c r="I8" s="2">
        <v>99.1</v>
      </c>
      <c r="J8" s="2">
        <v>102.5</v>
      </c>
      <c r="K8" s="4">
        <v>0.52400000000000002</v>
      </c>
      <c r="L8" s="4">
        <v>0.54800000000000004</v>
      </c>
      <c r="M8" s="2">
        <v>156</v>
      </c>
      <c r="N8" s="4">
        <v>0.69899999999999995</v>
      </c>
      <c r="O8" s="8">
        <f>Table1[[#This Row],[PT MARGIN]]/Table1[[#This Row],[G]]</f>
        <v>-2.3918918918918921</v>
      </c>
      <c r="Q8" s="49"/>
      <c r="R8" s="49"/>
      <c r="X8" s="12" t="s">
        <v>176</v>
      </c>
      <c r="Y8" s="10" t="s">
        <v>78</v>
      </c>
      <c r="Z8" s="10" t="s">
        <v>88</v>
      </c>
      <c r="AA8" s="10" t="s">
        <v>193</v>
      </c>
      <c r="AB8" s="10" t="s">
        <v>109</v>
      </c>
      <c r="AC8" s="10"/>
      <c r="AD8" s="10"/>
    </row>
    <row r="9" spans="1:30" hidden="1" x14ac:dyDescent="0.2">
      <c r="A9" s="1">
        <v>357</v>
      </c>
      <c r="B9" s="2" t="s">
        <v>227</v>
      </c>
      <c r="C9" s="2" t="str">
        <f>IF(COUNTIF($X$3:$X$20,B9)&gt;0,$X$2,
 IF(COUNTIF($Y$3:$Y$20,B9)&gt;0,$Y$2,
 IF(COUNTIF($Z$3:$Z$20,B9)&gt;0,$Z$2,
 IF(COUNTIF($AA$3:$AA$20,B9)&gt;0,$AA$2,
 IF(COUNTIF($AB$3:$AB$20,B9)&gt;0,$AB$2,
 IF(COUNTIF($AC$3:$AC$20,B9)&gt;0,$AC$2,
 IF(COUNTIF($AD$3:$AD$20,B9)&gt;0,$AD$2,
 "Not Found")))))))</f>
        <v>Not Found</v>
      </c>
      <c r="D9" s="2" t="s">
        <v>10</v>
      </c>
      <c r="E9" s="2" t="s">
        <v>11</v>
      </c>
      <c r="F9" s="2">
        <v>175</v>
      </c>
      <c r="G9" s="4">
        <v>0.29099999999999998</v>
      </c>
      <c r="H9" s="2">
        <v>-2068</v>
      </c>
      <c r="I9" s="2">
        <v>92</v>
      </c>
      <c r="J9" s="2">
        <v>108.8</v>
      </c>
      <c r="K9" s="4">
        <v>0.48799999999999999</v>
      </c>
      <c r="L9" s="4">
        <v>0.57099999999999995</v>
      </c>
      <c r="M9" s="2">
        <v>381</v>
      </c>
      <c r="N9" s="4">
        <v>0.70899999999999996</v>
      </c>
      <c r="O9" s="8">
        <f>Table1[[#This Row],[PT MARGIN]]/Table1[[#This Row],[G]]</f>
        <v>-11.817142857142857</v>
      </c>
      <c r="Q9" s="48"/>
      <c r="R9" s="48"/>
      <c r="X9" s="12" t="s">
        <v>150</v>
      </c>
      <c r="Y9" s="10" t="s">
        <v>86</v>
      </c>
      <c r="Z9" s="10" t="s">
        <v>365</v>
      </c>
      <c r="AA9" s="10" t="s">
        <v>71</v>
      </c>
      <c r="AB9" s="10" t="s">
        <v>67</v>
      </c>
      <c r="AC9" s="10"/>
      <c r="AD9" s="10"/>
    </row>
    <row r="10" spans="1:30" hidden="1" x14ac:dyDescent="0.2">
      <c r="A10" s="1">
        <v>265</v>
      </c>
      <c r="B10" s="2" t="s">
        <v>319</v>
      </c>
      <c r="C10" s="2" t="str">
        <f>IF(COUNTIF($X$3:$X$20,B10)&gt;0,$X$2,
 IF(COUNTIF($Y$3:$Y$20,B10)&gt;0,$Y$2,
 IF(COUNTIF($Z$3:$Z$20,B10)&gt;0,$Z$2,
 IF(COUNTIF($AA$3:$AA$20,B10)&gt;0,$AA$2,
 IF(COUNTIF($AB$3:$AB$20,B10)&gt;0,$AB$2,
 IF(COUNTIF($AC$3:$AC$20,B10)&gt;0,$AC$2,
 IF(COUNTIF($AD$3:$AD$20,B10)&gt;0,$AD$2,
 "Not Found")))))))</f>
        <v>Not Found</v>
      </c>
      <c r="D10" s="2" t="s">
        <v>10</v>
      </c>
      <c r="E10" s="2" t="s">
        <v>11</v>
      </c>
      <c r="F10" s="2">
        <v>149</v>
      </c>
      <c r="G10" s="4">
        <v>0.33600000000000002</v>
      </c>
      <c r="H10" s="2">
        <v>-971</v>
      </c>
      <c r="I10" s="2">
        <v>96.3</v>
      </c>
      <c r="J10" s="2">
        <v>106</v>
      </c>
      <c r="K10" s="4">
        <v>0.52900000000000003</v>
      </c>
      <c r="L10" s="4">
        <v>0.56299999999999994</v>
      </c>
      <c r="M10" s="2">
        <v>288</v>
      </c>
      <c r="N10" s="4">
        <v>0.71</v>
      </c>
      <c r="O10" s="8">
        <f>Table1[[#This Row],[PT MARGIN]]/Table1[[#This Row],[G]]</f>
        <v>-6.5167785234899327</v>
      </c>
      <c r="Q10" s="48"/>
      <c r="R10" s="15"/>
      <c r="X10" s="12" t="s">
        <v>161</v>
      </c>
      <c r="Y10" s="10" t="s">
        <v>333</v>
      </c>
      <c r="Z10" s="10" t="s">
        <v>157</v>
      </c>
      <c r="AA10" s="10" t="s">
        <v>146</v>
      </c>
      <c r="AB10" s="10" t="s">
        <v>64</v>
      </c>
      <c r="AC10" s="10"/>
      <c r="AD10" s="10"/>
    </row>
    <row r="11" spans="1:30" hidden="1" x14ac:dyDescent="0.2">
      <c r="A11" s="1">
        <v>207</v>
      </c>
      <c r="B11" s="2" t="s">
        <v>377</v>
      </c>
      <c r="C11" s="2" t="str">
        <f>IF(COUNTIF($X$3:$X$20,B11)&gt;0,$X$2,
 IF(COUNTIF($Y$3:$Y$20,B11)&gt;0,$Y$2,
 IF(COUNTIF($Z$3:$Z$20,B11)&gt;0,$Z$2,
 IF(COUNTIF($AA$3:$AA$20,B11)&gt;0,$AA$2,
 IF(COUNTIF($AB$3:$AB$20,B11)&gt;0,$AB$2,
 IF(COUNTIF($AC$3:$AC$20,B11)&gt;0,$AC$2,
 IF(COUNTIF($AD$3:$AD$20,B11)&gt;0,$AD$2,
 "Not Found")))))))</f>
        <v>Not Found</v>
      </c>
      <c r="D11" s="2" t="s">
        <v>10</v>
      </c>
      <c r="E11" s="2" t="s">
        <v>11</v>
      </c>
      <c r="F11" s="2">
        <v>134</v>
      </c>
      <c r="G11" s="4">
        <v>0.33600000000000002</v>
      </c>
      <c r="H11" s="2">
        <v>-690</v>
      </c>
      <c r="I11" s="2">
        <v>97.3</v>
      </c>
      <c r="J11" s="2">
        <v>104.7</v>
      </c>
      <c r="K11" s="4">
        <v>0.51100000000000001</v>
      </c>
      <c r="L11" s="4">
        <v>0.54100000000000004</v>
      </c>
      <c r="M11" s="2">
        <v>-69</v>
      </c>
      <c r="N11" s="4">
        <v>0.71899999999999997</v>
      </c>
      <c r="O11" s="8">
        <f>Table1[[#This Row],[PT MARGIN]]/Table1[[#This Row],[G]]</f>
        <v>-5.1492537313432836</v>
      </c>
      <c r="Q11" s="48"/>
      <c r="R11" s="15"/>
      <c r="X11" s="12" t="s">
        <v>352</v>
      </c>
      <c r="Y11" s="10" t="s">
        <v>42</v>
      </c>
      <c r="Z11" s="10" t="s">
        <v>135</v>
      </c>
      <c r="AA11" s="10" t="s">
        <v>328</v>
      </c>
      <c r="AB11" s="10" t="s">
        <v>82</v>
      </c>
      <c r="AC11" s="10"/>
      <c r="AD11" s="10"/>
    </row>
    <row r="12" spans="1:30" x14ac:dyDescent="0.2">
      <c r="A12" s="1">
        <v>7</v>
      </c>
      <c r="B12" s="2" t="s">
        <v>17</v>
      </c>
      <c r="C12" s="2" t="str">
        <f>IF(COUNTIF($X$3:$X$20,B12)&gt;0,$X$2,
 IF(COUNTIF($Y$3:$Y$20,B12)&gt;0,$Y$2,
 IF(COUNTIF($Z$3:$Z$20,B12)&gt;0,$Z$2,
 IF(COUNTIF($AA$3:$AA$20,B12)&gt;0,$AA$2,
 IF(COUNTIF($AB$3:$AB$20,B12)&gt;0,$AB$2,
 IF(COUNTIF($AC$3:$AC$20,B12)&gt;0,$AC$2,
 IF(COUNTIF($AD$3:$AD$20,B12)&gt;0,$AD$2,
 "Not Found")))))))</f>
        <v>Big 12</v>
      </c>
      <c r="D12" s="2" t="s">
        <v>10</v>
      </c>
      <c r="E12" s="2" t="s">
        <v>11</v>
      </c>
      <c r="F12" s="2">
        <v>106</v>
      </c>
      <c r="G12" s="4">
        <v>0.59399999999999997</v>
      </c>
      <c r="H12" s="2">
        <v>441</v>
      </c>
      <c r="I12" s="2">
        <v>106.8</v>
      </c>
      <c r="J12" s="2">
        <v>101.1</v>
      </c>
      <c r="K12" s="4">
        <v>0.54800000000000004</v>
      </c>
      <c r="L12" s="4">
        <v>0.52900000000000003</v>
      </c>
      <c r="M12" s="2">
        <v>-13</v>
      </c>
      <c r="N12" s="4">
        <v>0.72099999999999997</v>
      </c>
      <c r="O12" s="8">
        <f>Table1[[#This Row],[PT MARGIN]]/Table1[[#This Row],[G]]</f>
        <v>4.1603773584905657</v>
      </c>
      <c r="Q12" s="48"/>
      <c r="R12" s="15"/>
      <c r="X12" s="12" t="s">
        <v>13</v>
      </c>
      <c r="Y12" s="10" t="s">
        <v>172</v>
      </c>
      <c r="Z12" s="10" t="s">
        <v>142</v>
      </c>
      <c r="AA12" s="10" t="s">
        <v>403</v>
      </c>
      <c r="AB12" s="10" t="s">
        <v>284</v>
      </c>
      <c r="AC12" s="10"/>
      <c r="AD12" s="10"/>
    </row>
    <row r="13" spans="1:30" x14ac:dyDescent="0.2">
      <c r="A13" s="1">
        <v>172</v>
      </c>
      <c r="B13" s="2" t="s">
        <v>188</v>
      </c>
      <c r="C13" s="2" t="str">
        <f>IF(COUNTIF($X$3:$X$20,B13)&gt;0,$X$2,
 IF(COUNTIF($Y$3:$Y$20,B13)&gt;0,$Y$2,
 IF(COUNTIF($Z$3:$Z$20,B13)&gt;0,$Z$2,
 IF(COUNTIF($AA$3:$AA$20,B13)&gt;0,$AA$2,
 IF(COUNTIF($AB$3:$AB$20,B13)&gt;0,$AB$2,
 IF(COUNTIF($AC$3:$AC$20,B13)&gt;0,$AC$2,
 IF(COUNTIF($AD$3:$AD$20,B13)&gt;0,$AD$2,
 "Not Found")))))))</f>
        <v>Big 12</v>
      </c>
      <c r="D13" s="2" t="s">
        <v>10</v>
      </c>
      <c r="E13" s="2" t="s">
        <v>11</v>
      </c>
      <c r="F13" s="2">
        <v>109</v>
      </c>
      <c r="G13" s="4">
        <v>0.39400000000000002</v>
      </c>
      <c r="H13" s="2">
        <v>-581</v>
      </c>
      <c r="I13" s="2">
        <v>98.5</v>
      </c>
      <c r="J13" s="2">
        <v>105.9</v>
      </c>
      <c r="K13" s="4">
        <v>0.51700000000000002</v>
      </c>
      <c r="L13" s="4">
        <v>0.56299999999999994</v>
      </c>
      <c r="M13" s="2">
        <v>224</v>
      </c>
      <c r="N13" s="4">
        <v>0.72</v>
      </c>
      <c r="O13" s="8">
        <f>Table1[[#This Row],[PT MARGIN]]/Table1[[#This Row],[G]]</f>
        <v>-5.330275229357798</v>
      </c>
      <c r="Q13" s="48"/>
      <c r="R13" s="15"/>
      <c r="X13" s="12" t="s">
        <v>38</v>
      </c>
      <c r="Y13" s="10" t="s">
        <v>183</v>
      </c>
      <c r="Z13" s="10" t="s">
        <v>303</v>
      </c>
      <c r="AA13" s="10" t="s">
        <v>129</v>
      </c>
      <c r="AB13" s="10" t="s">
        <v>179</v>
      </c>
      <c r="AC13" s="10"/>
      <c r="AD13" s="10"/>
    </row>
    <row r="14" spans="1:30" x14ac:dyDescent="0.2">
      <c r="A14" s="1">
        <v>114</v>
      </c>
      <c r="B14" s="2" t="s">
        <v>129</v>
      </c>
      <c r="C14" s="2" t="str">
        <f>IF(COUNTIF($X$3:$X$20,B14)&gt;0,$X$2,
 IF(COUNTIF($Y$3:$Y$20,B14)&gt;0,$Y$2,
 IF(COUNTIF($Z$3:$Z$20,B14)&gt;0,$Z$2,
 IF(COUNTIF($AA$3:$AA$20,B14)&gt;0,$AA$2,
 IF(COUNTIF($AB$3:$AB$20,B14)&gt;0,$AB$2,
 IF(COUNTIF($AC$3:$AC$20,B14)&gt;0,$AC$2,
 IF(COUNTIF($AD$3:$AD$20,B14)&gt;0,$AD$2,
 "Not Found")))))))</f>
        <v>SEC</v>
      </c>
      <c r="D14" s="2" t="s">
        <v>10</v>
      </c>
      <c r="E14" s="2" t="s">
        <v>11</v>
      </c>
      <c r="F14" s="2">
        <v>102</v>
      </c>
      <c r="G14" s="4">
        <v>0.373</v>
      </c>
      <c r="H14" s="2">
        <v>-355</v>
      </c>
      <c r="I14" s="2">
        <v>101.6</v>
      </c>
      <c r="J14" s="2">
        <v>106.4</v>
      </c>
      <c r="K14" s="4">
        <v>0.53300000000000003</v>
      </c>
      <c r="L14" s="4">
        <v>0.55700000000000005</v>
      </c>
      <c r="M14" s="2">
        <v>228</v>
      </c>
      <c r="N14" s="4">
        <v>0.73199999999999998</v>
      </c>
      <c r="O14" s="8">
        <f>Table1[[#This Row],[PT MARGIN]]/Table1[[#This Row],[G]]</f>
        <v>-3.4803921568627452</v>
      </c>
      <c r="Q14" s="48"/>
      <c r="R14" s="15"/>
      <c r="X14" s="12" t="s">
        <v>49</v>
      </c>
      <c r="Y14" s="10" t="s">
        <v>80</v>
      </c>
      <c r="Z14" s="10" t="s">
        <v>155</v>
      </c>
      <c r="AA14" s="10" t="s">
        <v>190</v>
      </c>
      <c r="AB14" s="10"/>
      <c r="AC14" s="10"/>
      <c r="AD14" s="10"/>
    </row>
    <row r="15" spans="1:30" hidden="1" x14ac:dyDescent="0.2">
      <c r="A15" s="1">
        <v>237</v>
      </c>
      <c r="B15" s="2" t="s">
        <v>347</v>
      </c>
      <c r="C15" s="2" t="str">
        <f>IF(COUNTIF($X$3:$X$20,B15)&gt;0,$X$2,
 IF(COUNTIF($Y$3:$Y$20,B15)&gt;0,$Y$2,
 IF(COUNTIF($Z$3:$Z$20,B15)&gt;0,$Z$2,
 IF(COUNTIF($AA$3:$AA$20,B15)&gt;0,$AA$2,
 IF(COUNTIF($AB$3:$AB$20,B15)&gt;0,$AB$2,
 IF(COUNTIF($AC$3:$AC$20,B15)&gt;0,$AC$2,
 IF(COUNTIF($AD$3:$AD$20,B15)&gt;0,$AD$2,
 "Not Found")))))))</f>
        <v>Not Found</v>
      </c>
      <c r="D15" s="2" t="s">
        <v>10</v>
      </c>
      <c r="E15" s="2" t="s">
        <v>11</v>
      </c>
      <c r="F15" s="2">
        <v>142</v>
      </c>
      <c r="G15" s="4">
        <v>0.30299999999999999</v>
      </c>
      <c r="H15" s="2">
        <v>-812</v>
      </c>
      <c r="I15" s="2">
        <v>98.1</v>
      </c>
      <c r="J15" s="2">
        <v>106.1</v>
      </c>
      <c r="K15" s="4">
        <v>0.51400000000000001</v>
      </c>
      <c r="L15" s="4">
        <v>0.54800000000000004</v>
      </c>
      <c r="M15" s="2">
        <v>225</v>
      </c>
      <c r="N15" s="4">
        <v>0.72099999999999997</v>
      </c>
      <c r="O15" s="8">
        <f>Table1[[#This Row],[PT MARGIN]]/Table1[[#This Row],[G]]</f>
        <v>-5.71830985915493</v>
      </c>
      <c r="Q15" s="48"/>
      <c r="R15" s="15"/>
      <c r="X15" s="12" t="s">
        <v>170</v>
      </c>
      <c r="Y15" s="10" t="s">
        <v>315</v>
      </c>
      <c r="Z15" s="10" t="s">
        <v>140</v>
      </c>
      <c r="AA15" s="10" t="s">
        <v>84</v>
      </c>
      <c r="AC15" s="10"/>
      <c r="AD15" s="10"/>
    </row>
    <row r="16" spans="1:30" hidden="1" x14ac:dyDescent="0.2">
      <c r="A16" s="1">
        <v>365</v>
      </c>
      <c r="B16" s="2" t="s">
        <v>219</v>
      </c>
      <c r="C16" s="2" t="str">
        <f>IF(COUNTIF($X$3:$X$20,B16)&gt;0,$X$2,
 IF(COUNTIF($Y$3:$Y$20,B16)&gt;0,$Y$2,
 IF(COUNTIF($Z$3:$Z$20,B16)&gt;0,$Z$2,
 IF(COUNTIF($AA$3:$AA$20,B16)&gt;0,$AA$2,
 IF(COUNTIF($AB$3:$AB$20,B16)&gt;0,$AB$2,
 IF(COUNTIF($AC$3:$AC$20,B16)&gt;0,$AC$2,
 IF(COUNTIF($AD$3:$AD$20,B16)&gt;0,$AD$2,
 "Not Found")))))))</f>
        <v>Not Found</v>
      </c>
      <c r="D16" s="2" t="s">
        <v>10</v>
      </c>
      <c r="E16" s="2" t="s">
        <v>11</v>
      </c>
      <c r="F16" s="2">
        <v>192</v>
      </c>
      <c r="G16" s="4">
        <v>0.156</v>
      </c>
      <c r="H16" s="2">
        <v>-3101</v>
      </c>
      <c r="I16" s="2">
        <v>87.3</v>
      </c>
      <c r="J16" s="2">
        <v>110.1</v>
      </c>
      <c r="K16" s="4">
        <v>0.49199999999999999</v>
      </c>
      <c r="L16" s="4">
        <v>0.56999999999999995</v>
      </c>
      <c r="M16" s="2">
        <v>653</v>
      </c>
      <c r="N16" s="4">
        <v>0.70699999999999996</v>
      </c>
      <c r="O16" s="8">
        <f>Table1[[#This Row],[PT MARGIN]]/Table1[[#This Row],[G]]</f>
        <v>-16.151041666666668</v>
      </c>
      <c r="Q16" s="48"/>
      <c r="R16" s="15"/>
      <c r="X16" s="12" t="s">
        <v>17</v>
      </c>
      <c r="Y16" s="10" t="s">
        <v>304</v>
      </c>
      <c r="Z16" s="10" t="s">
        <v>111</v>
      </c>
      <c r="AA16" s="10" t="s">
        <v>346</v>
      </c>
      <c r="AC16" s="10"/>
      <c r="AD16" s="10"/>
    </row>
    <row r="17" spans="1:30" hidden="1" x14ac:dyDescent="0.2">
      <c r="A17" s="1">
        <v>201</v>
      </c>
      <c r="B17" s="2" t="s">
        <v>383</v>
      </c>
      <c r="C17" s="2" t="str">
        <f>IF(COUNTIF($X$3:$X$20,B17)&gt;0,$X$2,
 IF(COUNTIF($Y$3:$Y$20,B17)&gt;0,$Y$2,
 IF(COUNTIF($Z$3:$Z$20,B17)&gt;0,$Z$2,
 IF(COUNTIF($AA$3:$AA$20,B17)&gt;0,$AA$2,
 IF(COUNTIF($AB$3:$AB$20,B17)&gt;0,$AB$2,
 IF(COUNTIF($AC$3:$AC$20,B17)&gt;0,$AC$2,
 IF(COUNTIF($AD$3:$AD$20,B17)&gt;0,$AD$2,
 "Not Found")))))))</f>
        <v>Not Found</v>
      </c>
      <c r="D17" s="2" t="s">
        <v>10</v>
      </c>
      <c r="E17" s="2" t="s">
        <v>11</v>
      </c>
      <c r="F17" s="2">
        <v>141</v>
      </c>
      <c r="G17" s="4">
        <v>0.36899999999999999</v>
      </c>
      <c r="H17" s="2">
        <v>-669</v>
      </c>
      <c r="I17" s="2">
        <v>97</v>
      </c>
      <c r="J17" s="2">
        <v>103.7</v>
      </c>
      <c r="K17" s="4">
        <v>0.51800000000000002</v>
      </c>
      <c r="L17" s="4">
        <v>0.55100000000000005</v>
      </c>
      <c r="M17" s="2">
        <v>151</v>
      </c>
      <c r="N17" s="4">
        <v>0.69399999999999995</v>
      </c>
      <c r="O17" s="8">
        <f>Table1[[#This Row],[PT MARGIN]]/Table1[[#This Row],[G]]</f>
        <v>-4.7446808510638299</v>
      </c>
      <c r="Q17" s="48"/>
      <c r="R17" s="15"/>
      <c r="X17" s="12" t="s">
        <v>188</v>
      </c>
      <c r="Y17" s="10" t="s">
        <v>57</v>
      </c>
      <c r="Z17" s="10" t="s">
        <v>210</v>
      </c>
      <c r="AA17" s="10" t="s">
        <v>118</v>
      </c>
      <c r="AB17" s="10"/>
      <c r="AC17" s="10"/>
      <c r="AD17" s="10"/>
    </row>
    <row r="18" spans="1:30" x14ac:dyDescent="0.2">
      <c r="A18" s="1">
        <v>61</v>
      </c>
      <c r="B18" s="2" t="s">
        <v>71</v>
      </c>
      <c r="C18" s="2" t="str">
        <f>IF(COUNTIF($X$3:$X$20,B18)&gt;0,$X$2,
 IF(COUNTIF($Y$3:$Y$20,B18)&gt;0,$Y$2,
 IF(COUNTIF($Z$3:$Z$20,B18)&gt;0,$Z$2,
 IF(COUNTIF($AA$3:$AA$20,B18)&gt;0,$AA$2,
 IF(COUNTIF($AB$3:$AB$20,B18)&gt;0,$AB$2,
 IF(COUNTIF($AC$3:$AC$20,B18)&gt;0,$AC$2,
 IF(COUNTIF($AD$3:$AD$20,B18)&gt;0,$AD$2,
 "Not Found")))))))</f>
        <v>SEC</v>
      </c>
      <c r="D18" s="2" t="s">
        <v>10</v>
      </c>
      <c r="E18" s="2" t="s">
        <v>11</v>
      </c>
      <c r="F18" s="2">
        <v>110</v>
      </c>
      <c r="G18" s="4">
        <v>0.47299999999999998</v>
      </c>
      <c r="H18" s="2">
        <v>-87</v>
      </c>
      <c r="I18" s="2">
        <v>101.7</v>
      </c>
      <c r="J18" s="2">
        <v>102.8</v>
      </c>
      <c r="K18" s="4">
        <v>0.52100000000000002</v>
      </c>
      <c r="L18" s="4">
        <v>0.53300000000000003</v>
      </c>
      <c r="M18" s="2">
        <v>226</v>
      </c>
      <c r="N18" s="4">
        <v>0.71499999999999997</v>
      </c>
      <c r="O18" s="8">
        <f>Table1[[#This Row],[PT MARGIN]]/Table1[[#This Row],[G]]</f>
        <v>-0.79090909090909089</v>
      </c>
      <c r="Q18" s="48"/>
      <c r="R18" s="15"/>
      <c r="X18" s="12" t="s">
        <v>205</v>
      </c>
      <c r="Y18" s="10" t="s">
        <v>87</v>
      </c>
      <c r="Z18" s="10" t="s">
        <v>404</v>
      </c>
      <c r="AA18" s="10" t="s">
        <v>202</v>
      </c>
      <c r="AC18" s="10"/>
      <c r="AD18" s="10"/>
    </row>
    <row r="19" spans="1:30" hidden="1" x14ac:dyDescent="0.2">
      <c r="A19" s="1">
        <v>301</v>
      </c>
      <c r="B19" s="2" t="s">
        <v>283</v>
      </c>
      <c r="C19" s="2" t="str">
        <f>IF(COUNTIF($X$3:$X$20,B19)&gt;0,$X$2,
 IF(COUNTIF($Y$3:$Y$20,B19)&gt;0,$Y$2,
 IF(COUNTIF($Z$3:$Z$20,B19)&gt;0,$Z$2,
 IF(COUNTIF($AA$3:$AA$20,B19)&gt;0,$AA$2,
 IF(COUNTIF($AB$3:$AB$20,B19)&gt;0,$AB$2,
 IF(COUNTIF($AC$3:$AC$20,B19)&gt;0,$AC$2,
 IF(COUNTIF($AD$3:$AD$20,B19)&gt;0,$AD$2,
 "Not Found")))))))</f>
        <v>Not Found</v>
      </c>
      <c r="D19" s="2" t="s">
        <v>10</v>
      </c>
      <c r="E19" s="2" t="s">
        <v>11</v>
      </c>
      <c r="F19" s="2">
        <v>147</v>
      </c>
      <c r="G19" s="4">
        <v>0.32700000000000001</v>
      </c>
      <c r="H19" s="2">
        <v>-1168</v>
      </c>
      <c r="I19" s="2">
        <v>98</v>
      </c>
      <c r="J19" s="2">
        <v>109.4</v>
      </c>
      <c r="K19" s="4">
        <v>0.51600000000000001</v>
      </c>
      <c r="L19" s="4">
        <v>0.57799999999999996</v>
      </c>
      <c r="M19" s="2">
        <v>90</v>
      </c>
      <c r="N19" s="4">
        <v>0.72399999999999998</v>
      </c>
      <c r="O19" s="8">
        <f>Table1[[#This Row],[PT MARGIN]]/Table1[[#This Row],[G]]</f>
        <v>-7.9455782312925169</v>
      </c>
      <c r="Q19" s="48"/>
      <c r="R19" s="15"/>
      <c r="Y19" s="10" t="s">
        <v>69</v>
      </c>
      <c r="Z19" s="10" t="s">
        <v>370</v>
      </c>
      <c r="AC19" s="10"/>
      <c r="AD19" s="10"/>
    </row>
    <row r="20" spans="1:30" hidden="1" x14ac:dyDescent="0.2">
      <c r="A20" s="1">
        <v>122</v>
      </c>
      <c r="B20" s="2" t="s">
        <v>138</v>
      </c>
      <c r="C20" s="2" t="str">
        <f>IF(COUNTIF($X$3:$X$20,B20)&gt;0,$X$2,
 IF(COUNTIF($Y$3:$Y$20,B20)&gt;0,$Y$2,
 IF(COUNTIF($Z$3:$Z$20,B20)&gt;0,$Z$2,
 IF(COUNTIF($AA$3:$AA$20,B20)&gt;0,$AA$2,
 IF(COUNTIF($AB$3:$AB$20,B20)&gt;0,$AB$2,
 IF(COUNTIF($AC$3:$AC$20,B20)&gt;0,$AC$2,
 IF(COUNTIF($AD$3:$AD$20,B20)&gt;0,$AD$2,
 "Not Found")))))))</f>
        <v>Not Found</v>
      </c>
      <c r="D20" s="2" t="s">
        <v>10</v>
      </c>
      <c r="E20" s="2" t="s">
        <v>11</v>
      </c>
      <c r="F20" s="2">
        <v>130</v>
      </c>
      <c r="G20" s="4">
        <v>0.4</v>
      </c>
      <c r="H20" s="2">
        <v>-381</v>
      </c>
      <c r="I20" s="2">
        <v>99.1</v>
      </c>
      <c r="J20" s="2">
        <v>103.1</v>
      </c>
      <c r="K20" s="4">
        <v>0.54200000000000004</v>
      </c>
      <c r="L20" s="4">
        <v>0.53100000000000003</v>
      </c>
      <c r="M20" s="2">
        <v>80</v>
      </c>
      <c r="N20" s="4">
        <v>0.71399999999999997</v>
      </c>
      <c r="O20" s="8">
        <f>Table1[[#This Row],[PT MARGIN]]/Table1[[#This Row],[G]]</f>
        <v>-2.9307692307692306</v>
      </c>
      <c r="Q20" s="48"/>
      <c r="R20" s="15"/>
      <c r="Y20" s="10" t="s">
        <v>362</v>
      </c>
      <c r="Z20" s="10" t="s">
        <v>281</v>
      </c>
      <c r="AB20" s="10"/>
      <c r="AC20" s="10"/>
      <c r="AD20" s="10"/>
    </row>
    <row r="21" spans="1:30" x14ac:dyDescent="0.2">
      <c r="A21" s="1">
        <v>50</v>
      </c>
      <c r="B21" s="2" t="s">
        <v>60</v>
      </c>
      <c r="C21" s="2" t="str">
        <f>IF(COUNTIF($X$3:$X$20,B21)&gt;0,$X$2,
 IF(COUNTIF($Y$3:$Y$20,B21)&gt;0,$Y$2,
 IF(COUNTIF($Z$3:$Z$20,B21)&gt;0,$Z$2,
 IF(COUNTIF($AA$3:$AA$20,B21)&gt;0,$AA$2,
 IF(COUNTIF($AB$3:$AB$20,B21)&gt;0,$AB$2,
 IF(COUNTIF($AC$3:$AC$20,B21)&gt;0,$AC$2,
 IF(COUNTIF($AD$3:$AD$20,B21)&gt;0,$AD$2,
 "Not Found")))))))</f>
        <v>Big 12</v>
      </c>
      <c r="D21" s="2" t="s">
        <v>10</v>
      </c>
      <c r="E21" s="2" t="s">
        <v>11</v>
      </c>
      <c r="F21" s="2">
        <v>103</v>
      </c>
      <c r="G21" s="4">
        <v>0.52400000000000002</v>
      </c>
      <c r="H21" s="2">
        <v>-23</v>
      </c>
      <c r="I21" s="2">
        <v>104.6</v>
      </c>
      <c r="J21" s="2">
        <v>104.9</v>
      </c>
      <c r="K21" s="4">
        <v>0.53700000000000003</v>
      </c>
      <c r="L21" s="4">
        <v>0.54700000000000004</v>
      </c>
      <c r="M21" s="2">
        <v>234</v>
      </c>
      <c r="N21" s="4">
        <v>0.70799999999999996</v>
      </c>
      <c r="O21" s="8">
        <f>Table1[[#This Row],[PT MARGIN]]/Table1[[#This Row],[G]]</f>
        <v>-0.22330097087378642</v>
      </c>
      <c r="Q21" s="48"/>
      <c r="R21" s="15"/>
    </row>
    <row r="22" spans="1:30" hidden="1" x14ac:dyDescent="0.2">
      <c r="A22" s="1">
        <v>181</v>
      </c>
      <c r="B22" s="2" t="s">
        <v>197</v>
      </c>
      <c r="C22" s="2" t="str">
        <f>IF(COUNTIF($X$3:$X$20,B22)&gt;0,$X$2,
 IF(COUNTIF($Y$3:$Y$20,B22)&gt;0,$Y$2,
 IF(COUNTIF($Z$3:$Z$20,B22)&gt;0,$Z$2,
 IF(COUNTIF($AA$3:$AA$20,B22)&gt;0,$AA$2,
 IF(COUNTIF($AB$3:$AB$20,B22)&gt;0,$AB$2,
 IF(COUNTIF($AC$3:$AC$20,B22)&gt;0,$AC$2,
 IF(COUNTIF($AD$3:$AD$20,B22)&gt;0,$AD$2,
 "Not Found")))))))</f>
        <v>Not Found</v>
      </c>
      <c r="D22" s="2" t="s">
        <v>73</v>
      </c>
      <c r="E22" s="2" t="s">
        <v>11</v>
      </c>
      <c r="F22" s="2">
        <v>75</v>
      </c>
      <c r="G22" s="4">
        <v>0.29299999999999998</v>
      </c>
      <c r="H22" s="2">
        <v>-595</v>
      </c>
      <c r="I22" s="2">
        <v>101.2</v>
      </c>
      <c r="J22" s="2">
        <v>113.1</v>
      </c>
      <c r="K22" s="4">
        <v>0.54500000000000004</v>
      </c>
      <c r="L22" s="4">
        <v>0.58699999999999997</v>
      </c>
      <c r="M22" s="2">
        <v>165</v>
      </c>
      <c r="N22" s="4">
        <v>0.74299999999999999</v>
      </c>
      <c r="O22" s="8">
        <f>Table1[[#This Row],[PT MARGIN]]/Table1[[#This Row],[G]]</f>
        <v>-7.9333333333333336</v>
      </c>
      <c r="Q22" s="48"/>
      <c r="R22" s="15"/>
    </row>
    <row r="23" spans="1:30" hidden="1" x14ac:dyDescent="0.2">
      <c r="A23" s="1">
        <v>6</v>
      </c>
      <c r="B23" s="2" t="s">
        <v>16</v>
      </c>
      <c r="C23" s="2" t="str">
        <f>IF(COUNTIF($X$3:$X$20,B23)&gt;0,$X$2,
 IF(COUNTIF($Y$3:$Y$20,B23)&gt;0,$Y$2,
 IF(COUNTIF($Z$3:$Z$20,B23)&gt;0,$Z$2,
 IF(COUNTIF($AA$3:$AA$20,B23)&gt;0,$AA$2,
 IF(COUNTIF($AB$3:$AB$20,B23)&gt;0,$AB$2,
 IF(COUNTIF($AC$3:$AC$20,B23)&gt;0,$AC$2,
 IF(COUNTIF($AD$3:$AD$20,B23)&gt;0,$AD$2,
 "Not Found")))))))</f>
        <v>Not Found</v>
      </c>
      <c r="D23" s="2" t="s">
        <v>10</v>
      </c>
      <c r="E23" s="2" t="s">
        <v>11</v>
      </c>
      <c r="F23" s="2">
        <v>144</v>
      </c>
      <c r="G23" s="4">
        <v>0.63900000000000001</v>
      </c>
      <c r="H23" s="2">
        <v>543</v>
      </c>
      <c r="I23" s="2">
        <v>108.7</v>
      </c>
      <c r="J23" s="2">
        <v>103.5</v>
      </c>
      <c r="K23" s="4">
        <v>0.57999999999999996</v>
      </c>
      <c r="L23" s="4">
        <v>0.54100000000000004</v>
      </c>
      <c r="M23" s="2">
        <v>68</v>
      </c>
      <c r="N23" s="4">
        <v>0.71299999999999997</v>
      </c>
      <c r="O23" s="8">
        <f>Table1[[#This Row],[PT MARGIN]]/Table1[[#This Row],[G]]</f>
        <v>3.7708333333333335</v>
      </c>
      <c r="Q23" s="48"/>
      <c r="R23" s="15"/>
    </row>
    <row r="24" spans="1:30" hidden="1" x14ac:dyDescent="0.2">
      <c r="A24" s="1">
        <v>332</v>
      </c>
      <c r="B24" s="2" t="s">
        <v>252</v>
      </c>
      <c r="C24" s="2" t="str">
        <f>IF(COUNTIF($X$3:$X$20,B24)&gt;0,$X$2,
 IF(COUNTIF($Y$3:$Y$20,B24)&gt;0,$Y$2,
 IF(COUNTIF($Z$3:$Z$20,B24)&gt;0,$Z$2,
 IF(COUNTIF($AA$3:$AA$20,B24)&gt;0,$AA$2,
 IF(COUNTIF($AB$3:$AB$20,B24)&gt;0,$AB$2,
 IF(COUNTIF($AC$3:$AC$20,B24)&gt;0,$AC$2,
 IF(COUNTIF($AD$3:$AD$20,B24)&gt;0,$AD$2,
 "Not Found")))))))</f>
        <v>Not Found</v>
      </c>
      <c r="D24" s="2" t="s">
        <v>10</v>
      </c>
      <c r="E24" s="2" t="s">
        <v>11</v>
      </c>
      <c r="F24" s="2">
        <v>151</v>
      </c>
      <c r="G24" s="4">
        <v>0.27200000000000002</v>
      </c>
      <c r="H24" s="2">
        <v>-1479</v>
      </c>
      <c r="I24" s="2">
        <v>92.9</v>
      </c>
      <c r="J24" s="2">
        <v>106.3</v>
      </c>
      <c r="K24" s="4">
        <v>0.495</v>
      </c>
      <c r="L24" s="4">
        <v>0.55400000000000005</v>
      </c>
      <c r="M24" s="2">
        <v>313</v>
      </c>
      <c r="N24" s="4">
        <v>0.71</v>
      </c>
      <c r="O24" s="8">
        <f>Table1[[#This Row],[PT MARGIN]]/Table1[[#This Row],[G]]</f>
        <v>-9.7947019867549674</v>
      </c>
      <c r="Q24" s="47"/>
      <c r="R24" s="48"/>
    </row>
    <row r="25" spans="1:30" hidden="1" x14ac:dyDescent="0.2">
      <c r="A25" s="1">
        <v>317</v>
      </c>
      <c r="B25" s="2" t="s">
        <v>267</v>
      </c>
      <c r="C25" s="2" t="str">
        <f>IF(COUNTIF($X$3:$X$20,B25)&gt;0,$X$2,
 IF(COUNTIF($Y$3:$Y$20,B25)&gt;0,$Y$2,
 IF(COUNTIF($Z$3:$Z$20,B25)&gt;0,$Z$2,
 IF(COUNTIF($AA$3:$AA$20,B25)&gt;0,$AA$2,
 IF(COUNTIF($AB$3:$AB$20,B25)&gt;0,$AB$2,
 IF(COUNTIF($AC$3:$AC$20,B25)&gt;0,$AC$2,
 IF(COUNTIF($AD$3:$AD$20,B25)&gt;0,$AD$2,
 "Not Found")))))))</f>
        <v>Not Found</v>
      </c>
      <c r="D25" s="2" t="s">
        <v>10</v>
      </c>
      <c r="E25" s="2" t="s">
        <v>11</v>
      </c>
      <c r="F25" s="2">
        <v>142</v>
      </c>
      <c r="G25" s="4">
        <v>0.28199999999999997</v>
      </c>
      <c r="H25" s="2">
        <v>-1279</v>
      </c>
      <c r="I25" s="2">
        <v>93.8</v>
      </c>
      <c r="J25" s="2">
        <v>106.8</v>
      </c>
      <c r="K25" s="4">
        <v>0.51</v>
      </c>
      <c r="L25" s="4">
        <v>0.55300000000000005</v>
      </c>
      <c r="M25" s="2">
        <v>226</v>
      </c>
      <c r="N25" s="4">
        <v>0.71099999999999997</v>
      </c>
      <c r="O25" s="8">
        <f>Table1[[#This Row],[PT MARGIN]]/Table1[[#This Row],[G]]</f>
        <v>-9.0070422535211261</v>
      </c>
      <c r="Q25" s="49"/>
      <c r="R25" s="49"/>
    </row>
    <row r="26" spans="1:30" hidden="1" x14ac:dyDescent="0.2">
      <c r="A26" s="1">
        <v>26</v>
      </c>
      <c r="B26" s="2" t="s">
        <v>36</v>
      </c>
      <c r="C26" s="2" t="str">
        <f>IF(COUNTIF($X$3:$X$20,B26)&gt;0,$X$2,
 IF(COUNTIF($Y$3:$Y$20,B26)&gt;0,$Y$2,
 IF(COUNTIF($Z$3:$Z$20,B26)&gt;0,$Z$2,
 IF(COUNTIF($AA$3:$AA$20,B26)&gt;0,$AA$2,
 IF(COUNTIF($AB$3:$AB$20,B26)&gt;0,$AB$2,
 IF(COUNTIF($AC$3:$AC$20,B26)&gt;0,$AC$2,
 IF(COUNTIF($AD$3:$AD$20,B26)&gt;0,$AD$2,
 "Not Found")))))))</f>
        <v>Not Found</v>
      </c>
      <c r="D26" s="2" t="s">
        <v>10</v>
      </c>
      <c r="E26" s="2" t="s">
        <v>11</v>
      </c>
      <c r="F26" s="2">
        <v>117</v>
      </c>
      <c r="G26" s="4">
        <v>0.496</v>
      </c>
      <c r="H26" s="2">
        <v>128</v>
      </c>
      <c r="I26" s="2">
        <v>103.4</v>
      </c>
      <c r="J26" s="2">
        <v>101.8</v>
      </c>
      <c r="K26" s="4">
        <v>0.54400000000000004</v>
      </c>
      <c r="L26" s="4">
        <v>0.54700000000000004</v>
      </c>
      <c r="M26" s="2">
        <v>65</v>
      </c>
      <c r="N26" s="4">
        <v>0.72799999999999998</v>
      </c>
      <c r="O26" s="8">
        <f>Table1[[#This Row],[PT MARGIN]]/Table1[[#This Row],[G]]</f>
        <v>1.0940170940170941</v>
      </c>
      <c r="Q26" s="48"/>
      <c r="R26" s="48"/>
    </row>
    <row r="27" spans="1:30" x14ac:dyDescent="0.2">
      <c r="A27" s="1">
        <v>281</v>
      </c>
      <c r="B27" s="2" t="s">
        <v>303</v>
      </c>
      <c r="C27" s="2" t="str">
        <f>IF(COUNTIF($X$3:$X$20,B27)&gt;0,$X$2,
 IF(COUNTIF($Y$3:$Y$20,B27)&gt;0,$Y$2,
 IF(COUNTIF($Z$3:$Z$20,B27)&gt;0,$Z$2,
 IF(COUNTIF($AA$3:$AA$20,B27)&gt;0,$AA$2,
 IF(COUNTIF($AB$3:$AB$20,B27)&gt;0,$AB$2,
 IF(COUNTIF($AC$3:$AC$20,B27)&gt;0,$AC$2,
 IF(COUNTIF($AD$3:$AD$20,B27)&gt;0,$AD$2,
 "Not Found")))))))</f>
        <v>ACC</v>
      </c>
      <c r="D27" s="2" t="s">
        <v>10</v>
      </c>
      <c r="E27" s="2" t="s">
        <v>11</v>
      </c>
      <c r="F27" s="2">
        <v>105</v>
      </c>
      <c r="G27" s="4">
        <v>0.19</v>
      </c>
      <c r="H27" s="2">
        <v>-1035</v>
      </c>
      <c r="I27" s="2">
        <v>95.4</v>
      </c>
      <c r="J27" s="2">
        <v>109.5</v>
      </c>
      <c r="K27" s="4">
        <v>0.51200000000000001</v>
      </c>
      <c r="L27" s="4">
        <v>0.57299999999999995</v>
      </c>
      <c r="M27" s="2">
        <v>234</v>
      </c>
      <c r="N27" s="4">
        <v>0.74199999999999999</v>
      </c>
      <c r="O27" s="8">
        <f>Table1[[#This Row],[PT MARGIN]]/Table1[[#This Row],[G]]</f>
        <v>-9.8571428571428577</v>
      </c>
      <c r="Q27" s="48"/>
      <c r="R27" s="15"/>
    </row>
    <row r="28" spans="1:30" hidden="1" x14ac:dyDescent="0.2">
      <c r="A28" s="1">
        <v>100</v>
      </c>
      <c r="B28" s="2" t="s">
        <v>114</v>
      </c>
      <c r="C28" s="2" t="str">
        <f>IF(COUNTIF($X$3:$X$20,B28)&gt;0,$X$2,
 IF(COUNTIF($Y$3:$Y$20,B28)&gt;0,$Y$2,
 IF(COUNTIF($Z$3:$Z$20,B28)&gt;0,$Z$2,
 IF(COUNTIF($AA$3:$AA$20,B28)&gt;0,$AA$2,
 IF(COUNTIF($AB$3:$AB$20,B28)&gt;0,$AB$2,
 IF(COUNTIF($AC$3:$AC$20,B28)&gt;0,$AC$2,
 IF(COUNTIF($AD$3:$AD$20,B28)&gt;0,$AD$2,
 "Not Found")))))))</f>
        <v>Not Found</v>
      </c>
      <c r="D28" s="2" t="s">
        <v>10</v>
      </c>
      <c r="E28" s="2" t="s">
        <v>11</v>
      </c>
      <c r="F28" s="2">
        <v>153</v>
      </c>
      <c r="G28" s="4">
        <v>0.44400000000000001</v>
      </c>
      <c r="H28" s="2">
        <v>-313</v>
      </c>
      <c r="I28" s="2">
        <v>98.4</v>
      </c>
      <c r="J28" s="2">
        <v>101.4</v>
      </c>
      <c r="K28" s="4">
        <v>0.52300000000000002</v>
      </c>
      <c r="L28" s="4">
        <v>0.53800000000000003</v>
      </c>
      <c r="M28" s="2">
        <v>177</v>
      </c>
      <c r="N28" s="4">
        <v>0.69799999999999995</v>
      </c>
      <c r="O28" s="8">
        <f>Table1[[#This Row],[PT MARGIN]]/Table1[[#This Row],[G]]</f>
        <v>-2.0457516339869279</v>
      </c>
      <c r="Q28" s="48"/>
      <c r="R28" s="15"/>
    </row>
    <row r="29" spans="1:30" hidden="1" x14ac:dyDescent="0.2">
      <c r="A29" s="1">
        <v>182</v>
      </c>
      <c r="B29" s="2" t="s">
        <v>198</v>
      </c>
      <c r="C29" s="2" t="str">
        <f>IF(COUNTIF($X$3:$X$20,B29)&gt;0,$X$2,
 IF(COUNTIF($Y$3:$Y$20,B29)&gt;0,$Y$2,
 IF(COUNTIF($Z$3:$Z$20,B29)&gt;0,$Z$2,
 IF(COUNTIF($AA$3:$AA$20,B29)&gt;0,$AA$2,
 IF(COUNTIF($AB$3:$AB$20,B29)&gt;0,$AB$2,
 IF(COUNTIF($AC$3:$AC$20,B29)&gt;0,$AC$2,
 IF(COUNTIF($AD$3:$AD$20,B29)&gt;0,$AD$2,
 "Not Found")))))))</f>
        <v>Not Found</v>
      </c>
      <c r="D29" s="2" t="s">
        <v>10</v>
      </c>
      <c r="E29" s="2" t="s">
        <v>11</v>
      </c>
      <c r="F29" s="2">
        <v>131</v>
      </c>
      <c r="G29" s="4">
        <v>0.39700000000000002</v>
      </c>
      <c r="H29" s="2">
        <v>-597</v>
      </c>
      <c r="I29" s="2">
        <v>100.5</v>
      </c>
      <c r="J29" s="2">
        <v>106.8</v>
      </c>
      <c r="K29" s="4">
        <v>0.51900000000000002</v>
      </c>
      <c r="L29" s="4">
        <v>0.56000000000000005</v>
      </c>
      <c r="M29" s="2">
        <v>88</v>
      </c>
      <c r="N29" s="4">
        <v>0.73</v>
      </c>
      <c r="O29" s="8">
        <f>Table1[[#This Row],[PT MARGIN]]/Table1[[#This Row],[G]]</f>
        <v>-4.5572519083969469</v>
      </c>
      <c r="Q29" s="48"/>
      <c r="R29" s="15"/>
    </row>
    <row r="30" spans="1:30" hidden="1" x14ac:dyDescent="0.2">
      <c r="A30" s="1">
        <v>195</v>
      </c>
      <c r="B30" s="2" t="s">
        <v>211</v>
      </c>
      <c r="C30" s="2" t="str">
        <f>IF(COUNTIF($X$3:$X$20,B30)&gt;0,$X$2,
 IF(COUNTIF($Y$3:$Y$20,B30)&gt;0,$Y$2,
 IF(COUNTIF($Z$3:$Z$20,B30)&gt;0,$Z$2,
 IF(COUNTIF($AA$3:$AA$20,B30)&gt;0,$AA$2,
 IF(COUNTIF($AB$3:$AB$20,B30)&gt;0,$AB$2,
 IF(COUNTIF($AC$3:$AC$20,B30)&gt;0,$AC$2,
 IF(COUNTIF($AD$3:$AD$20,B30)&gt;0,$AD$2,
 "Not Found")))))))</f>
        <v>Not Found</v>
      </c>
      <c r="D30" s="2" t="s">
        <v>10</v>
      </c>
      <c r="E30" s="2" t="s">
        <v>11</v>
      </c>
      <c r="F30" s="2">
        <v>122</v>
      </c>
      <c r="G30" s="4">
        <v>0.36099999999999999</v>
      </c>
      <c r="H30" s="2">
        <v>-628</v>
      </c>
      <c r="I30" s="2">
        <v>96.5</v>
      </c>
      <c r="J30" s="2">
        <v>104</v>
      </c>
      <c r="K30" s="4">
        <v>0.51900000000000002</v>
      </c>
      <c r="L30" s="4">
        <v>0.54800000000000004</v>
      </c>
      <c r="M30" s="2">
        <v>396</v>
      </c>
      <c r="N30" s="4">
        <v>0.73299999999999998</v>
      </c>
      <c r="O30" s="8">
        <f>Table1[[#This Row],[PT MARGIN]]/Table1[[#This Row],[G]]</f>
        <v>-5.1475409836065573</v>
      </c>
      <c r="Q30" s="48"/>
      <c r="R30" s="15"/>
    </row>
    <row r="31" spans="1:30" x14ac:dyDescent="0.2">
      <c r="A31" s="1">
        <v>28</v>
      </c>
      <c r="B31" s="2" t="s">
        <v>38</v>
      </c>
      <c r="C31" s="2" t="str">
        <f>IF(COUNTIF($X$3:$X$20,B31)&gt;0,$X$2,
 IF(COUNTIF($Y$3:$Y$20,B31)&gt;0,$Y$2,
 IF(COUNTIF($Z$3:$Z$20,B31)&gt;0,$Z$2,
 IF(COUNTIF($AA$3:$AA$20,B31)&gt;0,$AA$2,
 IF(COUNTIF($AB$3:$AB$20,B31)&gt;0,$AB$2,
 IF(COUNTIF($AC$3:$AC$20,B31)&gt;0,$AC$2,
 IF(COUNTIF($AD$3:$AD$20,B31)&gt;0,$AD$2,
 "Not Found")))))))</f>
        <v>Big 12</v>
      </c>
      <c r="D31" s="2" t="s">
        <v>10</v>
      </c>
      <c r="E31" s="2" t="s">
        <v>11</v>
      </c>
      <c r="F31" s="2">
        <v>107</v>
      </c>
      <c r="G31" s="4">
        <v>0.495</v>
      </c>
      <c r="H31" s="2">
        <v>127</v>
      </c>
      <c r="I31" s="2">
        <v>105</v>
      </c>
      <c r="J31" s="2">
        <v>103.4</v>
      </c>
      <c r="K31" s="4">
        <v>0.55800000000000005</v>
      </c>
      <c r="L31" s="4">
        <v>0.54800000000000004</v>
      </c>
      <c r="M31" s="2">
        <v>223</v>
      </c>
      <c r="N31" s="4">
        <v>0.72</v>
      </c>
      <c r="O31" s="8">
        <f>Table1[[#This Row],[PT MARGIN]]/Table1[[#This Row],[G]]</f>
        <v>1.1869158878504673</v>
      </c>
      <c r="Q31" s="48"/>
      <c r="R31" s="15"/>
    </row>
    <row r="32" spans="1:30" hidden="1" x14ac:dyDescent="0.2">
      <c r="A32" s="1">
        <v>171</v>
      </c>
      <c r="B32" s="2" t="s">
        <v>187</v>
      </c>
      <c r="C32" s="2" t="str">
        <f>IF(COUNTIF($X$3:$X$20,B32)&gt;0,$X$2,
 IF(COUNTIF($Y$3:$Y$20,B32)&gt;0,$Y$2,
 IF(COUNTIF($Z$3:$Z$20,B32)&gt;0,$Z$2,
 IF(COUNTIF($AA$3:$AA$20,B32)&gt;0,$AA$2,
 IF(COUNTIF($AB$3:$AB$20,B32)&gt;0,$AB$2,
 IF(COUNTIF($AC$3:$AC$20,B32)&gt;0,$AC$2,
 IF(COUNTIF($AD$3:$AD$20,B32)&gt;0,$AD$2,
 "Not Found")))))))</f>
        <v>Not Found</v>
      </c>
      <c r="D32" s="2" t="s">
        <v>10</v>
      </c>
      <c r="E32" s="2" t="s">
        <v>11</v>
      </c>
      <c r="F32" s="2">
        <v>123</v>
      </c>
      <c r="G32" s="4">
        <v>0.36599999999999999</v>
      </c>
      <c r="H32" s="2">
        <v>-579</v>
      </c>
      <c r="I32" s="2">
        <v>96.4</v>
      </c>
      <c r="J32" s="2">
        <v>103</v>
      </c>
      <c r="K32" s="4">
        <v>0.51500000000000001</v>
      </c>
      <c r="L32" s="4">
        <v>0.55000000000000004</v>
      </c>
      <c r="M32" s="2">
        <v>38</v>
      </c>
      <c r="N32" s="4">
        <v>0.70199999999999996</v>
      </c>
      <c r="O32" s="8">
        <f>Table1[[#This Row],[PT MARGIN]]/Table1[[#This Row],[G]]</f>
        <v>-4.7073170731707314</v>
      </c>
      <c r="Q32" s="48"/>
      <c r="R32" s="15"/>
    </row>
    <row r="33" spans="1:18" hidden="1" x14ac:dyDescent="0.2">
      <c r="A33" s="1">
        <v>274</v>
      </c>
      <c r="B33" s="2" t="s">
        <v>310</v>
      </c>
      <c r="C33" s="2" t="str">
        <f>IF(COUNTIF($X$3:$X$20,B33)&gt;0,$X$2,
 IF(COUNTIF($Y$3:$Y$20,B33)&gt;0,$Y$2,
 IF(COUNTIF($Z$3:$Z$20,B33)&gt;0,$Z$2,
 IF(COUNTIF($AA$3:$AA$20,B33)&gt;0,$AA$2,
 IF(COUNTIF($AB$3:$AB$20,B33)&gt;0,$AB$2,
 IF(COUNTIF($AC$3:$AC$20,B33)&gt;0,$AC$2,
 IF(COUNTIF($AD$3:$AD$20,B33)&gt;0,$AD$2,
 "Not Found")))))))</f>
        <v>Not Found</v>
      </c>
      <c r="D33" s="2" t="s">
        <v>10</v>
      </c>
      <c r="E33" s="2" t="s">
        <v>11</v>
      </c>
      <c r="F33" s="2">
        <v>155</v>
      </c>
      <c r="G33" s="4">
        <v>0.34200000000000003</v>
      </c>
      <c r="H33" s="2">
        <v>-1006</v>
      </c>
      <c r="I33" s="2">
        <v>97.7</v>
      </c>
      <c r="J33" s="2">
        <v>106.4</v>
      </c>
      <c r="K33" s="4">
        <v>0.51700000000000002</v>
      </c>
      <c r="L33" s="4">
        <v>0.54200000000000004</v>
      </c>
      <c r="M33" s="2">
        <v>234</v>
      </c>
      <c r="N33" s="4">
        <v>0.71299999999999997</v>
      </c>
      <c r="O33" s="8">
        <f>Table1[[#This Row],[PT MARGIN]]/Table1[[#This Row],[G]]</f>
        <v>-6.4903225806451612</v>
      </c>
      <c r="Q33" s="48"/>
      <c r="R33" s="15"/>
    </row>
    <row r="34" spans="1:18" hidden="1" x14ac:dyDescent="0.2">
      <c r="A34" s="1">
        <v>143</v>
      </c>
      <c r="B34" s="2" t="s">
        <v>159</v>
      </c>
      <c r="C34" s="2" t="str">
        <f>IF(COUNTIF($X$3:$X$20,B34)&gt;0,$X$2,
 IF(COUNTIF($Y$3:$Y$20,B34)&gt;0,$Y$2,
 IF(COUNTIF($Z$3:$Z$20,B34)&gt;0,$Z$2,
 IF(COUNTIF($AA$3:$AA$20,B34)&gt;0,$AA$2,
 IF(COUNTIF($AB$3:$AB$20,B34)&gt;0,$AB$2,
 IF(COUNTIF($AC$3:$AC$20,B34)&gt;0,$AC$2,
 IF(COUNTIF($AD$3:$AD$20,B34)&gt;0,$AD$2,
 "Not Found")))))))</f>
        <v>Not Found</v>
      </c>
      <c r="D34" s="2" t="s">
        <v>10</v>
      </c>
      <c r="E34" s="2" t="s">
        <v>11</v>
      </c>
      <c r="F34" s="2">
        <v>146</v>
      </c>
      <c r="G34" s="4">
        <v>0.39</v>
      </c>
      <c r="H34" s="2">
        <v>-461</v>
      </c>
      <c r="I34" s="2">
        <v>100.7</v>
      </c>
      <c r="J34" s="2">
        <v>105.1</v>
      </c>
      <c r="K34" s="4">
        <v>0.54600000000000004</v>
      </c>
      <c r="L34" s="4">
        <v>0.54700000000000004</v>
      </c>
      <c r="M34" s="2">
        <v>102</v>
      </c>
      <c r="N34" s="4">
        <v>0.71099999999999997</v>
      </c>
      <c r="O34" s="8">
        <f>Table1[[#This Row],[PT MARGIN]]/Table1[[#This Row],[G]]</f>
        <v>-3.1575342465753424</v>
      </c>
      <c r="Q34" s="48"/>
      <c r="R34" s="15"/>
    </row>
    <row r="35" spans="1:18" hidden="1" x14ac:dyDescent="0.2">
      <c r="A35" s="1">
        <v>81</v>
      </c>
      <c r="B35" s="2" t="s">
        <v>92</v>
      </c>
      <c r="C35" s="2" t="str">
        <f>IF(COUNTIF($X$3:$X$20,B35)&gt;0,$X$2,
 IF(COUNTIF($Y$3:$Y$20,B35)&gt;0,$Y$2,
 IF(COUNTIF($Z$3:$Z$20,B35)&gt;0,$Z$2,
 IF(COUNTIF($AA$3:$AA$20,B35)&gt;0,$AA$2,
 IF(COUNTIF($AB$3:$AB$20,B35)&gt;0,$AB$2,
 IF(COUNTIF($AC$3:$AC$20,B35)&gt;0,$AC$2,
 IF(COUNTIF($AD$3:$AD$20,B35)&gt;0,$AD$2,
 "Not Found")))))))</f>
        <v>Not Found</v>
      </c>
      <c r="D35" s="2" t="s">
        <v>10</v>
      </c>
      <c r="E35" s="2" t="s">
        <v>11</v>
      </c>
      <c r="F35" s="2">
        <v>132</v>
      </c>
      <c r="G35" s="4">
        <v>0.47</v>
      </c>
      <c r="H35" s="2">
        <v>-223</v>
      </c>
      <c r="I35" s="2">
        <v>102</v>
      </c>
      <c r="J35" s="2">
        <v>104.2</v>
      </c>
      <c r="K35" s="4">
        <v>0.53700000000000003</v>
      </c>
      <c r="L35" s="4">
        <v>0.54300000000000004</v>
      </c>
      <c r="M35" s="2">
        <v>385</v>
      </c>
      <c r="N35" s="4">
        <v>0.72899999999999998</v>
      </c>
      <c r="O35" s="8">
        <f>Table1[[#This Row],[PT MARGIN]]/Table1[[#This Row],[G]]</f>
        <v>-1.6893939393939394</v>
      </c>
      <c r="Q35" s="48"/>
      <c r="R35" s="15"/>
    </row>
    <row r="36" spans="1:18" x14ac:dyDescent="0.2">
      <c r="A36" s="1">
        <v>163</v>
      </c>
      <c r="B36" s="2" t="s">
        <v>179</v>
      </c>
      <c r="C36" s="2" t="str">
        <f>IF(COUNTIF($X$3:$X$20,B36)&gt;0,$X$2,
 IF(COUNTIF($Y$3:$Y$20,B36)&gt;0,$Y$2,
 IF(COUNTIF($Z$3:$Z$20,B36)&gt;0,$Z$2,
 IF(COUNTIF($AA$3:$AA$20,B36)&gt;0,$AA$2,
 IF(COUNTIF($AB$3:$AB$20,B36)&gt;0,$AB$2,
 IF(COUNTIF($AC$3:$AC$20,B36)&gt;0,$AC$2,
 IF(COUNTIF($AD$3:$AD$20,B36)&gt;0,$AD$2,
 "Not Found")))))))</f>
        <v>Big East</v>
      </c>
      <c r="D36" s="2" t="s">
        <v>10</v>
      </c>
      <c r="E36" s="2" t="s">
        <v>11</v>
      </c>
      <c r="F36" s="2">
        <v>108</v>
      </c>
      <c r="G36" s="4">
        <v>0.32400000000000001</v>
      </c>
      <c r="H36" s="2">
        <v>-537</v>
      </c>
      <c r="I36" s="2">
        <v>97.9</v>
      </c>
      <c r="J36" s="2">
        <v>105.1</v>
      </c>
      <c r="K36" s="4">
        <v>0.51600000000000001</v>
      </c>
      <c r="L36" s="4">
        <v>0.54900000000000004</v>
      </c>
      <c r="M36" s="2">
        <v>165</v>
      </c>
      <c r="N36" s="4">
        <v>0.72699999999999998</v>
      </c>
      <c r="O36" s="8">
        <f>Table1[[#This Row],[PT MARGIN]]/Table1[[#This Row],[G]]</f>
        <v>-4.9722222222222223</v>
      </c>
      <c r="Q36" s="48"/>
      <c r="R36" s="15"/>
    </row>
    <row r="37" spans="1:18" hidden="1" x14ac:dyDescent="0.2">
      <c r="A37" s="1">
        <v>341</v>
      </c>
      <c r="B37" s="2" t="s">
        <v>243</v>
      </c>
      <c r="C37" s="2" t="str">
        <f>IF(COUNTIF($X$3:$X$20,B37)&gt;0,$X$2,
 IF(COUNTIF($Y$3:$Y$20,B37)&gt;0,$Y$2,
 IF(COUNTIF($Z$3:$Z$20,B37)&gt;0,$Z$2,
 IF(COUNTIF($AA$3:$AA$20,B37)&gt;0,$AA$2,
 IF(COUNTIF($AB$3:$AB$20,B37)&gt;0,$AB$2,
 IF(COUNTIF($AC$3:$AC$20,B37)&gt;0,$AC$2,
 IF(COUNTIF($AD$3:$AD$20,B37)&gt;0,$AD$2,
 "Not Found")))))))</f>
        <v>Not Found</v>
      </c>
      <c r="D37" s="2" t="s">
        <v>10</v>
      </c>
      <c r="E37" s="2" t="s">
        <v>11</v>
      </c>
      <c r="F37" s="2">
        <v>148</v>
      </c>
      <c r="G37" s="4">
        <v>0.122</v>
      </c>
      <c r="H37" s="2">
        <v>-1619</v>
      </c>
      <c r="I37" s="2">
        <v>93.1</v>
      </c>
      <c r="J37" s="2">
        <v>108.8</v>
      </c>
      <c r="K37" s="4">
        <v>0.50600000000000001</v>
      </c>
      <c r="L37" s="4">
        <v>0.56399999999999995</v>
      </c>
      <c r="M37" s="2">
        <v>445</v>
      </c>
      <c r="N37" s="4">
        <v>0.72699999999999998</v>
      </c>
      <c r="O37" s="8">
        <f>Table1[[#This Row],[PT MARGIN]]/Table1[[#This Row],[G]]</f>
        <v>-10.939189189189189</v>
      </c>
      <c r="Q37" s="48"/>
      <c r="R37" s="15"/>
    </row>
    <row r="38" spans="1:18" hidden="1" x14ac:dyDescent="0.2">
      <c r="A38" s="1">
        <v>247</v>
      </c>
      <c r="B38" s="2" t="s">
        <v>337</v>
      </c>
      <c r="C38" s="2" t="str">
        <f>IF(COUNTIF($X$3:$X$20,B38)&gt;0,$X$2,
 IF(COUNTIF($Y$3:$Y$20,B38)&gt;0,$Y$2,
 IF(COUNTIF($Z$3:$Z$20,B38)&gt;0,$Z$2,
 IF(COUNTIF($AA$3:$AA$20,B38)&gt;0,$AA$2,
 IF(COUNTIF($AB$3:$AB$20,B38)&gt;0,$AB$2,
 IF(COUNTIF($AC$3:$AC$20,B38)&gt;0,$AC$2,
 IF(COUNTIF($AD$3:$AD$20,B38)&gt;0,$AD$2,
 "Not Found")))))))</f>
        <v>Not Found</v>
      </c>
      <c r="D38" s="2" t="s">
        <v>10</v>
      </c>
      <c r="E38" s="2" t="s">
        <v>11</v>
      </c>
      <c r="F38" s="2">
        <v>144</v>
      </c>
      <c r="G38" s="4">
        <v>0.29899999999999999</v>
      </c>
      <c r="H38" s="2">
        <v>-884</v>
      </c>
      <c r="I38" s="2">
        <v>93.9</v>
      </c>
      <c r="J38" s="2">
        <v>102.9</v>
      </c>
      <c r="K38" s="4">
        <v>0.48699999999999999</v>
      </c>
      <c r="L38" s="4">
        <v>0.55300000000000005</v>
      </c>
      <c r="M38" s="2">
        <v>578</v>
      </c>
      <c r="N38" s="4">
        <v>0.72799999999999998</v>
      </c>
      <c r="O38" s="8">
        <f>Table1[[#This Row],[PT MARGIN]]/Table1[[#This Row],[G]]</f>
        <v>-6.1388888888888893</v>
      </c>
      <c r="Q38" s="48"/>
      <c r="R38" s="15"/>
    </row>
    <row r="39" spans="1:18" hidden="1" x14ac:dyDescent="0.2">
      <c r="A39" s="1">
        <v>239</v>
      </c>
      <c r="B39" s="2" t="s">
        <v>345</v>
      </c>
      <c r="C39" s="2" t="str">
        <f>IF(COUNTIF($X$3:$X$20,B39)&gt;0,$X$2,
 IF(COUNTIF($Y$3:$Y$20,B39)&gt;0,$Y$2,
 IF(COUNTIF($Z$3:$Z$20,B39)&gt;0,$Z$2,
 IF(COUNTIF($AA$3:$AA$20,B39)&gt;0,$AA$2,
 IF(COUNTIF($AB$3:$AB$20,B39)&gt;0,$AB$2,
 IF(COUNTIF($AC$3:$AC$20,B39)&gt;0,$AC$2,
 IF(COUNTIF($AD$3:$AD$20,B39)&gt;0,$AD$2,
 "Not Found")))))))</f>
        <v>Not Found</v>
      </c>
      <c r="D39" s="2" t="s">
        <v>10</v>
      </c>
      <c r="E39" s="2" t="s">
        <v>11</v>
      </c>
      <c r="F39" s="2">
        <v>138</v>
      </c>
      <c r="G39" s="4">
        <v>0.34100000000000003</v>
      </c>
      <c r="H39" s="2">
        <v>-825</v>
      </c>
      <c r="I39" s="2">
        <v>95.8</v>
      </c>
      <c r="J39" s="2">
        <v>104.1</v>
      </c>
      <c r="K39" s="4">
        <v>0.52300000000000002</v>
      </c>
      <c r="L39" s="4">
        <v>0.54900000000000004</v>
      </c>
      <c r="M39" s="2">
        <v>-54</v>
      </c>
      <c r="N39" s="4">
        <v>0.71499999999999997</v>
      </c>
      <c r="O39" s="8">
        <f>Table1[[#This Row],[PT MARGIN]]/Table1[[#This Row],[G]]</f>
        <v>-5.9782608695652177</v>
      </c>
      <c r="Q39" s="48"/>
      <c r="R39" s="15"/>
    </row>
    <row r="40" spans="1:18" hidden="1" x14ac:dyDescent="0.2">
      <c r="A40" s="1">
        <v>267</v>
      </c>
      <c r="B40" s="2" t="s">
        <v>317</v>
      </c>
      <c r="C40" s="2" t="str">
        <f>IF(COUNTIF($X$3:$X$20,B40)&gt;0,$X$2,
 IF(COUNTIF($Y$3:$Y$20,B40)&gt;0,$Y$2,
 IF(COUNTIF($Z$3:$Z$20,B40)&gt;0,$Z$2,
 IF(COUNTIF($AA$3:$AA$20,B40)&gt;0,$AA$2,
 IF(COUNTIF($AB$3:$AB$20,B40)&gt;0,$AB$2,
 IF(COUNTIF($AC$3:$AC$20,B40)&gt;0,$AC$2,
 IF(COUNTIF($AD$3:$AD$20,B40)&gt;0,$AD$2,
 "Not Found")))))))</f>
        <v>Not Found</v>
      </c>
      <c r="D40" s="2" t="s">
        <v>10</v>
      </c>
      <c r="E40" s="2" t="s">
        <v>11</v>
      </c>
      <c r="F40" s="2">
        <v>142</v>
      </c>
      <c r="G40" s="4">
        <v>0.317</v>
      </c>
      <c r="H40" s="2">
        <v>-978</v>
      </c>
      <c r="I40" s="2">
        <v>97.6</v>
      </c>
      <c r="J40" s="2">
        <v>107.2</v>
      </c>
      <c r="K40" s="4">
        <v>0.51700000000000002</v>
      </c>
      <c r="L40" s="4">
        <v>0.56100000000000005</v>
      </c>
      <c r="M40" s="2">
        <v>181</v>
      </c>
      <c r="N40" s="4">
        <v>0.73899999999999999</v>
      </c>
      <c r="O40" s="8">
        <f>Table1[[#This Row],[PT MARGIN]]/Table1[[#This Row],[G]]</f>
        <v>-6.887323943661972</v>
      </c>
      <c r="Q40" s="48"/>
      <c r="R40" s="15"/>
    </row>
    <row r="41" spans="1:18" x14ac:dyDescent="0.2">
      <c r="A41" s="1">
        <v>303</v>
      </c>
      <c r="B41" s="2" t="s">
        <v>281</v>
      </c>
      <c r="C41" s="2" t="str">
        <f>IF(COUNTIF($X$3:$X$20,B41)&gt;0,$X$2,
 IF(COUNTIF($Y$3:$Y$20,B41)&gt;0,$Y$2,
 IF(COUNTIF($Z$3:$Z$20,B41)&gt;0,$Z$2,
 IF(COUNTIF($AA$3:$AA$20,B41)&gt;0,$AA$2,
 IF(COUNTIF($AB$3:$AB$20,B41)&gt;0,$AB$2,
 IF(COUNTIF($AC$3:$AC$20,B41)&gt;0,$AC$2,
 IF(COUNTIF($AD$3:$AD$20,B41)&gt;0,$AD$2,
 "Not Found")))))))</f>
        <v>ACC</v>
      </c>
      <c r="D41" s="2" t="s">
        <v>10</v>
      </c>
      <c r="E41" s="2" t="s">
        <v>11</v>
      </c>
      <c r="F41" s="2">
        <v>112</v>
      </c>
      <c r="G41" s="4">
        <v>0.17899999999999999</v>
      </c>
      <c r="H41" s="2">
        <v>-1199</v>
      </c>
      <c r="I41" s="2">
        <v>91.8</v>
      </c>
      <c r="J41" s="2">
        <v>107.3</v>
      </c>
      <c r="K41" s="4">
        <v>0.48899999999999999</v>
      </c>
      <c r="L41" s="4">
        <v>0.56499999999999995</v>
      </c>
      <c r="M41" s="2">
        <v>284</v>
      </c>
      <c r="N41" s="4">
        <v>0.71499999999999997</v>
      </c>
      <c r="O41" s="8">
        <f>Table1[[#This Row],[PT MARGIN]]/Table1[[#This Row],[G]]</f>
        <v>-10.705357142857142</v>
      </c>
    </row>
    <row r="42" spans="1:18" hidden="1" x14ac:dyDescent="0.2">
      <c r="A42" s="1">
        <v>105</v>
      </c>
      <c r="B42" s="2" t="s">
        <v>119</v>
      </c>
      <c r="C42" s="2" t="str">
        <f>IF(COUNTIF($X$3:$X$20,B42)&gt;0,$X$2,
 IF(COUNTIF($Y$3:$Y$20,B42)&gt;0,$Y$2,
 IF(COUNTIF($Z$3:$Z$20,B42)&gt;0,$Z$2,
 IF(COUNTIF($AA$3:$AA$20,B42)&gt;0,$AA$2,
 IF(COUNTIF($AB$3:$AB$20,B42)&gt;0,$AB$2,
 IF(COUNTIF($AC$3:$AC$20,B42)&gt;0,$AC$2,
 IF(COUNTIF($AD$3:$AD$20,B42)&gt;0,$AD$2,
 "Not Found")))))))</f>
        <v>Not Found</v>
      </c>
      <c r="D42" s="2" t="s">
        <v>120</v>
      </c>
      <c r="E42" s="2" t="s">
        <v>11</v>
      </c>
      <c r="F42" s="2">
        <v>81</v>
      </c>
      <c r="G42" s="4">
        <v>0.38300000000000001</v>
      </c>
      <c r="H42" s="2">
        <v>-340</v>
      </c>
      <c r="I42" s="2">
        <v>97.1</v>
      </c>
      <c r="J42" s="2">
        <v>103.2</v>
      </c>
      <c r="K42" s="4">
        <v>0.51300000000000001</v>
      </c>
      <c r="L42" s="4">
        <v>0.53500000000000003</v>
      </c>
      <c r="M42" s="2">
        <v>112</v>
      </c>
      <c r="N42" s="4">
        <v>0.70899999999999996</v>
      </c>
      <c r="O42" s="8">
        <f>Table1[[#This Row],[PT MARGIN]]/Table1[[#This Row],[G]]</f>
        <v>-4.1975308641975309</v>
      </c>
    </row>
    <row r="43" spans="1:18" hidden="1" x14ac:dyDescent="0.2">
      <c r="A43" s="1">
        <v>140</v>
      </c>
      <c r="B43" s="2" t="s">
        <v>156</v>
      </c>
      <c r="C43" s="2" t="str">
        <f>IF(COUNTIF($X$3:$X$20,B43)&gt;0,$X$2,
 IF(COUNTIF($Y$3:$Y$20,B43)&gt;0,$Y$2,
 IF(COUNTIF($Z$3:$Z$20,B43)&gt;0,$Z$2,
 IF(COUNTIF($AA$3:$AA$20,B43)&gt;0,$AA$2,
 IF(COUNTIF($AB$3:$AB$20,B43)&gt;0,$AB$2,
 IF(COUNTIF($AC$3:$AC$20,B43)&gt;0,$AC$2,
 IF(COUNTIF($AD$3:$AD$20,B43)&gt;0,$AD$2,
 "Not Found")))))))</f>
        <v>Not Found</v>
      </c>
      <c r="D43" s="2" t="s">
        <v>10</v>
      </c>
      <c r="E43" s="2" t="s">
        <v>11</v>
      </c>
      <c r="F43" s="2">
        <v>136</v>
      </c>
      <c r="G43" s="4">
        <v>0.36</v>
      </c>
      <c r="H43" s="2">
        <v>-452</v>
      </c>
      <c r="I43" s="2">
        <v>100.2</v>
      </c>
      <c r="J43" s="2">
        <v>105</v>
      </c>
      <c r="K43" s="4">
        <v>0.54400000000000004</v>
      </c>
      <c r="L43" s="4">
        <v>0.55500000000000005</v>
      </c>
      <c r="M43" s="2">
        <v>97</v>
      </c>
      <c r="N43" s="4">
        <v>0.70699999999999996</v>
      </c>
      <c r="O43" s="8">
        <f>Table1[[#This Row],[PT MARGIN]]/Table1[[#This Row],[G]]</f>
        <v>-3.3235294117647061</v>
      </c>
    </row>
    <row r="44" spans="1:18" hidden="1" x14ac:dyDescent="0.2">
      <c r="A44" s="1">
        <v>243</v>
      </c>
      <c r="B44" s="2" t="s">
        <v>341</v>
      </c>
      <c r="C44" s="2" t="str">
        <f>IF(COUNTIF($X$3:$X$20,B44)&gt;0,$X$2,
 IF(COUNTIF($Y$3:$Y$20,B44)&gt;0,$Y$2,
 IF(COUNTIF($Z$3:$Z$20,B44)&gt;0,$Z$2,
 IF(COUNTIF($AA$3:$AA$20,B44)&gt;0,$AA$2,
 IF(COUNTIF($AB$3:$AB$20,B44)&gt;0,$AB$2,
 IF(COUNTIF($AC$3:$AC$20,B44)&gt;0,$AC$2,
 IF(COUNTIF($AD$3:$AD$20,B44)&gt;0,$AD$2,
 "Not Found")))))))</f>
        <v>Not Found</v>
      </c>
      <c r="D44" s="2" t="s">
        <v>10</v>
      </c>
      <c r="E44" s="2" t="s">
        <v>11</v>
      </c>
      <c r="F44" s="2">
        <v>148</v>
      </c>
      <c r="G44" s="4">
        <v>0.318</v>
      </c>
      <c r="H44" s="2">
        <v>-843</v>
      </c>
      <c r="I44" s="2">
        <v>99.3</v>
      </c>
      <c r="J44" s="2">
        <v>107.4</v>
      </c>
      <c r="K44" s="4">
        <v>0.52500000000000002</v>
      </c>
      <c r="L44" s="4">
        <v>0.57199999999999995</v>
      </c>
      <c r="M44" s="2">
        <v>316</v>
      </c>
      <c r="N44" s="4">
        <v>0.72499999999999998</v>
      </c>
      <c r="O44" s="8">
        <f>Table1[[#This Row],[PT MARGIN]]/Table1[[#This Row],[G]]</f>
        <v>-5.6959459459459456</v>
      </c>
    </row>
    <row r="45" spans="1:18" hidden="1" x14ac:dyDescent="0.2">
      <c r="A45" s="1">
        <v>361</v>
      </c>
      <c r="B45" s="2" t="s">
        <v>223</v>
      </c>
      <c r="C45" s="2" t="str">
        <f>IF(COUNTIF($X$3:$X$20,B45)&gt;0,$X$2,
 IF(COUNTIF($Y$3:$Y$20,B45)&gt;0,$Y$2,
 IF(COUNTIF($Z$3:$Z$20,B45)&gt;0,$Z$2,
 IF(COUNTIF($AA$3:$AA$20,B45)&gt;0,$AA$2,
 IF(COUNTIF($AB$3:$AB$20,B45)&gt;0,$AB$2,
 IF(COUNTIF($AC$3:$AC$20,B45)&gt;0,$AC$2,
 IF(COUNTIF($AD$3:$AD$20,B45)&gt;0,$AD$2,
 "Not Found")))))))</f>
        <v>Not Found</v>
      </c>
      <c r="D45" s="2" t="s">
        <v>10</v>
      </c>
      <c r="E45" s="2" t="s">
        <v>11</v>
      </c>
      <c r="F45" s="2">
        <v>169</v>
      </c>
      <c r="G45" s="4">
        <v>0.17799999999999999</v>
      </c>
      <c r="H45" s="2">
        <v>-2392</v>
      </c>
      <c r="I45" s="2">
        <v>94.7</v>
      </c>
      <c r="J45" s="2">
        <v>113.6</v>
      </c>
      <c r="K45" s="4">
        <v>0.51500000000000001</v>
      </c>
      <c r="L45" s="4">
        <v>0.58499999999999996</v>
      </c>
      <c r="M45" s="2">
        <v>304</v>
      </c>
      <c r="N45" s="4">
        <v>0.71599999999999997</v>
      </c>
      <c r="O45" s="8">
        <f>Table1[[#This Row],[PT MARGIN]]/Table1[[#This Row],[G]]</f>
        <v>-14.153846153846153</v>
      </c>
    </row>
    <row r="46" spans="1:18" hidden="1" x14ac:dyDescent="0.2">
      <c r="A46" s="1">
        <v>329</v>
      </c>
      <c r="B46" s="2" t="s">
        <v>255</v>
      </c>
      <c r="C46" s="2" t="str">
        <f>IF(COUNTIF($X$3:$X$20,B46)&gt;0,$X$2,
 IF(COUNTIF($Y$3:$Y$20,B46)&gt;0,$Y$2,
 IF(COUNTIF($Z$3:$Z$20,B46)&gt;0,$Z$2,
 IF(COUNTIF($AA$3:$AA$20,B46)&gt;0,$AA$2,
 IF(COUNTIF($AB$3:$AB$20,B46)&gt;0,$AB$2,
 IF(COUNTIF($AC$3:$AC$20,B46)&gt;0,$AC$2,
 IF(COUNTIF($AD$3:$AD$20,B46)&gt;0,$AD$2,
 "Not Found")))))))</f>
        <v>Not Found</v>
      </c>
      <c r="D46" s="2" t="s">
        <v>10</v>
      </c>
      <c r="E46" s="2" t="s">
        <v>11</v>
      </c>
      <c r="F46" s="2">
        <v>160</v>
      </c>
      <c r="G46" s="4">
        <v>0.28100000000000003</v>
      </c>
      <c r="H46" s="2">
        <v>-1452</v>
      </c>
      <c r="I46" s="2">
        <v>93.9</v>
      </c>
      <c r="J46" s="2">
        <v>106.9</v>
      </c>
      <c r="K46" s="4">
        <v>0.50800000000000001</v>
      </c>
      <c r="L46" s="4">
        <v>0.55600000000000005</v>
      </c>
      <c r="M46" s="2">
        <v>76</v>
      </c>
      <c r="N46" s="4">
        <v>0.69299999999999995</v>
      </c>
      <c r="O46" s="8">
        <f>Table1[[#This Row],[PT MARGIN]]/Table1[[#This Row],[G]]</f>
        <v>-9.0749999999999993</v>
      </c>
    </row>
    <row r="47" spans="1:18" hidden="1" x14ac:dyDescent="0.2">
      <c r="A47" s="1">
        <v>266</v>
      </c>
      <c r="B47" s="2" t="s">
        <v>318</v>
      </c>
      <c r="C47" s="2" t="str">
        <f>IF(COUNTIF($X$3:$X$20,B47)&gt;0,$X$2,
 IF(COUNTIF($Y$3:$Y$20,B47)&gt;0,$Y$2,
 IF(COUNTIF($Z$3:$Z$20,B47)&gt;0,$Z$2,
 IF(COUNTIF($AA$3:$AA$20,B47)&gt;0,$AA$2,
 IF(COUNTIF($AB$3:$AB$20,B47)&gt;0,$AB$2,
 IF(COUNTIF($AC$3:$AC$20,B47)&gt;0,$AC$2,
 IF(COUNTIF($AD$3:$AD$20,B47)&gt;0,$AD$2,
 "Not Found")))))))</f>
        <v>Not Found</v>
      </c>
      <c r="D47" s="2" t="s">
        <v>10</v>
      </c>
      <c r="E47" s="2" t="s">
        <v>11</v>
      </c>
      <c r="F47" s="2">
        <v>138</v>
      </c>
      <c r="G47" s="4">
        <v>0.32600000000000001</v>
      </c>
      <c r="H47" s="2">
        <v>-972</v>
      </c>
      <c r="I47" s="2">
        <v>98.3</v>
      </c>
      <c r="J47" s="2">
        <v>108</v>
      </c>
      <c r="K47" s="4">
        <v>0.52</v>
      </c>
      <c r="L47" s="4">
        <v>0.55900000000000005</v>
      </c>
      <c r="M47" s="2">
        <v>62</v>
      </c>
      <c r="N47" s="4">
        <v>0.71299999999999997</v>
      </c>
      <c r="O47" s="8">
        <f>Table1[[#This Row],[PT MARGIN]]/Table1[[#This Row],[G]]</f>
        <v>-7.0434782608695654</v>
      </c>
    </row>
    <row r="48" spans="1:18" hidden="1" x14ac:dyDescent="0.2">
      <c r="A48" s="1">
        <v>337</v>
      </c>
      <c r="B48" s="2" t="s">
        <v>247</v>
      </c>
      <c r="C48" s="2" t="str">
        <f>IF(COUNTIF($X$3:$X$20,B48)&gt;0,$X$2,
 IF(COUNTIF($Y$3:$Y$20,B48)&gt;0,$Y$2,
 IF(COUNTIF($Z$3:$Z$20,B48)&gt;0,$Z$2,
 IF(COUNTIF($AA$3:$AA$20,B48)&gt;0,$AA$2,
 IF(COUNTIF($AB$3:$AB$20,B48)&gt;0,$AB$2,
 IF(COUNTIF($AC$3:$AC$20,B48)&gt;0,$AC$2,
 IF(COUNTIF($AD$3:$AD$20,B48)&gt;0,$AD$2,
 "Not Found")))))))</f>
        <v>Not Found</v>
      </c>
      <c r="D48" s="2" t="s">
        <v>10</v>
      </c>
      <c r="E48" s="2" t="s">
        <v>11</v>
      </c>
      <c r="F48" s="2">
        <v>145</v>
      </c>
      <c r="G48" s="4">
        <v>0.22800000000000001</v>
      </c>
      <c r="H48" s="2">
        <v>-1530</v>
      </c>
      <c r="I48" s="2">
        <v>95</v>
      </c>
      <c r="J48" s="2">
        <v>110</v>
      </c>
      <c r="K48" s="4">
        <v>0.51</v>
      </c>
      <c r="L48" s="4">
        <v>0.57299999999999995</v>
      </c>
      <c r="M48" s="2">
        <v>183</v>
      </c>
      <c r="N48" s="4">
        <v>0.71399999999999997</v>
      </c>
      <c r="O48" s="8">
        <f>Table1[[#This Row],[PT MARGIN]]/Table1[[#This Row],[G]]</f>
        <v>-10.551724137931034</v>
      </c>
    </row>
    <row r="49" spans="1:15" hidden="1" x14ac:dyDescent="0.2">
      <c r="A49" s="1">
        <v>255</v>
      </c>
      <c r="B49" s="2" t="s">
        <v>329</v>
      </c>
      <c r="C49" s="2" t="str">
        <f>IF(COUNTIF($X$3:$X$20,B49)&gt;0,$X$2,
 IF(COUNTIF($Y$3:$Y$20,B49)&gt;0,$Y$2,
 IF(COUNTIF($Z$3:$Z$20,B49)&gt;0,$Z$2,
 IF(COUNTIF($AA$3:$AA$20,B49)&gt;0,$AA$2,
 IF(COUNTIF($AB$3:$AB$20,B49)&gt;0,$AB$2,
 IF(COUNTIF($AC$3:$AC$20,B49)&gt;0,$AC$2,
 IF(COUNTIF($AD$3:$AD$20,B49)&gt;0,$AD$2,
 "Not Found")))))))</f>
        <v>Not Found</v>
      </c>
      <c r="D49" s="2" t="s">
        <v>10</v>
      </c>
      <c r="E49" s="2" t="s">
        <v>11</v>
      </c>
      <c r="F49" s="2">
        <v>126</v>
      </c>
      <c r="G49" s="4">
        <v>0.28599999999999998</v>
      </c>
      <c r="H49" s="2">
        <v>-902</v>
      </c>
      <c r="I49" s="2">
        <v>98.4</v>
      </c>
      <c r="J49" s="2">
        <v>108.9</v>
      </c>
      <c r="K49" s="4">
        <v>0.53300000000000003</v>
      </c>
      <c r="L49" s="4">
        <v>0.56999999999999995</v>
      </c>
      <c r="M49" s="2">
        <v>140</v>
      </c>
      <c r="N49" s="4">
        <v>0.72599999999999998</v>
      </c>
      <c r="O49" s="8">
        <f>Table1[[#This Row],[PT MARGIN]]/Table1[[#This Row],[G]]</f>
        <v>-7.1587301587301591</v>
      </c>
    </row>
    <row r="50" spans="1:15" hidden="1" x14ac:dyDescent="0.2">
      <c r="A50" s="1">
        <v>68</v>
      </c>
      <c r="B50" s="2" t="s">
        <v>79</v>
      </c>
      <c r="C50" s="2" t="str">
        <f>IF(COUNTIF($X$3:$X$20,B50)&gt;0,$X$2,
 IF(COUNTIF($Y$3:$Y$20,B50)&gt;0,$Y$2,
 IF(COUNTIF($Z$3:$Z$20,B50)&gt;0,$Z$2,
 IF(COUNTIF($AA$3:$AA$20,B50)&gt;0,$AA$2,
 IF(COUNTIF($AB$3:$AB$20,B50)&gt;0,$AB$2,
 IF(COUNTIF($AC$3:$AC$20,B50)&gt;0,$AC$2,
 IF(COUNTIF($AD$3:$AD$20,B50)&gt;0,$AD$2,
 "Not Found")))))))</f>
        <v>Not Found</v>
      </c>
      <c r="D50" s="2" t="s">
        <v>10</v>
      </c>
      <c r="E50" s="2" t="s">
        <v>11</v>
      </c>
      <c r="F50" s="2">
        <v>147</v>
      </c>
      <c r="G50" s="4">
        <v>0.503</v>
      </c>
      <c r="H50" s="2">
        <v>-140</v>
      </c>
      <c r="I50" s="2">
        <v>102.7</v>
      </c>
      <c r="J50" s="2">
        <v>104</v>
      </c>
      <c r="K50" s="4">
        <v>0.54600000000000004</v>
      </c>
      <c r="L50" s="4">
        <v>0.54900000000000004</v>
      </c>
      <c r="M50" s="2">
        <v>118</v>
      </c>
      <c r="N50" s="4">
        <v>0.71099999999999997</v>
      </c>
      <c r="O50" s="8">
        <f>Table1[[#This Row],[PT MARGIN]]/Table1[[#This Row],[G]]</f>
        <v>-0.95238095238095233</v>
      </c>
    </row>
    <row r="51" spans="1:15" hidden="1" x14ac:dyDescent="0.2">
      <c r="A51" s="1">
        <v>366</v>
      </c>
      <c r="B51" s="2" t="s">
        <v>218</v>
      </c>
      <c r="C51" s="2" t="str">
        <f>IF(COUNTIF($X$3:$X$20,B51)&gt;0,$X$2,
 IF(COUNTIF($Y$3:$Y$20,B51)&gt;0,$Y$2,
 IF(COUNTIF($Z$3:$Z$20,B51)&gt;0,$Z$2,
 IF(COUNTIF($AA$3:$AA$20,B51)&gt;0,$AA$2,
 IF(COUNTIF($AB$3:$AB$20,B51)&gt;0,$AB$2,
 IF(COUNTIF($AC$3:$AC$20,B51)&gt;0,$AC$2,
 IF(COUNTIF($AD$3:$AD$20,B51)&gt;0,$AD$2,
 "Not Found")))))))</f>
        <v>Not Found</v>
      </c>
      <c r="D51" s="2" t="s">
        <v>10</v>
      </c>
      <c r="E51" s="2" t="s">
        <v>11</v>
      </c>
      <c r="F51" s="2">
        <v>168</v>
      </c>
      <c r="G51" s="4">
        <v>8.3000000000000004E-2</v>
      </c>
      <c r="H51" s="2">
        <v>-3428</v>
      </c>
      <c r="I51" s="2">
        <v>85.9</v>
      </c>
      <c r="J51" s="2">
        <v>114.8</v>
      </c>
      <c r="K51" s="4">
        <v>0.47099999999999997</v>
      </c>
      <c r="L51" s="4">
        <v>0.58699999999999997</v>
      </c>
      <c r="M51" s="2">
        <v>620</v>
      </c>
      <c r="N51" s="4">
        <v>0.70099999999999996</v>
      </c>
      <c r="O51" s="8">
        <f>Table1[[#This Row],[PT MARGIN]]/Table1[[#This Row],[G]]</f>
        <v>-20.404761904761905</v>
      </c>
    </row>
    <row r="52" spans="1:15" x14ac:dyDescent="0.2">
      <c r="A52" s="1">
        <v>39</v>
      </c>
      <c r="B52" s="2" t="s">
        <v>49</v>
      </c>
      <c r="C52" s="2" t="str">
        <f>IF(COUNTIF($X$3:$X$20,B52)&gt;0,$X$2,
 IF(COUNTIF($Y$3:$Y$20,B52)&gt;0,$Y$2,
 IF(COUNTIF($Z$3:$Z$20,B52)&gt;0,$Z$2,
 IF(COUNTIF($AA$3:$AA$20,B52)&gt;0,$AA$2,
 IF(COUNTIF($AB$3:$AB$20,B52)&gt;0,$AB$2,
 IF(COUNTIF($AC$3:$AC$20,B52)&gt;0,$AC$2,
 IF(COUNTIF($AD$3:$AD$20,B52)&gt;0,$AD$2,
 "Not Found")))))))</f>
        <v>Big 12</v>
      </c>
      <c r="D52" s="2" t="s">
        <v>10</v>
      </c>
      <c r="E52" s="2" t="s">
        <v>11</v>
      </c>
      <c r="F52" s="2">
        <v>111</v>
      </c>
      <c r="G52" s="4">
        <v>0.505</v>
      </c>
      <c r="H52" s="2">
        <v>25</v>
      </c>
      <c r="I52" s="2">
        <v>97.9</v>
      </c>
      <c r="J52" s="2">
        <v>97.6</v>
      </c>
      <c r="K52" s="4">
        <v>0.497</v>
      </c>
      <c r="L52" s="4">
        <v>0.51</v>
      </c>
      <c r="M52" s="2">
        <v>235</v>
      </c>
      <c r="N52" s="4">
        <v>0.71099999999999997</v>
      </c>
      <c r="O52" s="8">
        <f>Table1[[#This Row],[PT MARGIN]]/Table1[[#This Row],[G]]</f>
        <v>0.22522522522522523</v>
      </c>
    </row>
    <row r="53" spans="1:15" x14ac:dyDescent="0.2">
      <c r="A53" s="1">
        <v>77</v>
      </c>
      <c r="B53" s="2" t="s">
        <v>88</v>
      </c>
      <c r="C53" s="2" t="str">
        <f>IF(COUNTIF($X$3:$X$20,B53)&gt;0,$X$2,
 IF(COUNTIF($Y$3:$Y$20,B53)&gt;0,$Y$2,
 IF(COUNTIF($Z$3:$Z$20,B53)&gt;0,$Z$2,
 IF(COUNTIF($AA$3:$AA$20,B53)&gt;0,$AA$2,
 IF(COUNTIF($AB$3:$AB$20,B53)&gt;0,$AB$2,
 IF(COUNTIF($AC$3:$AC$20,B53)&gt;0,$AC$2,
 IF(COUNTIF($AD$3:$AD$20,B53)&gt;0,$AD$2,
 "Not Found")))))))</f>
        <v>ACC</v>
      </c>
      <c r="D53" s="2" t="s">
        <v>10</v>
      </c>
      <c r="E53" s="2" t="s">
        <v>11</v>
      </c>
      <c r="F53" s="2">
        <v>105</v>
      </c>
      <c r="G53" s="4">
        <v>0.4</v>
      </c>
      <c r="H53" s="2">
        <v>-193</v>
      </c>
      <c r="I53" s="2">
        <v>100.9</v>
      </c>
      <c r="J53" s="2">
        <v>103.6</v>
      </c>
      <c r="K53" s="4">
        <v>0.53400000000000003</v>
      </c>
      <c r="L53" s="4">
        <v>0.53900000000000003</v>
      </c>
      <c r="M53" s="2">
        <v>201</v>
      </c>
      <c r="N53" s="4">
        <v>0.73399999999999999</v>
      </c>
      <c r="O53" s="8">
        <f>Table1[[#This Row],[PT MARGIN]]/Table1[[#This Row],[G]]</f>
        <v>-1.838095238095238</v>
      </c>
    </row>
    <row r="54" spans="1:15" hidden="1" x14ac:dyDescent="0.2">
      <c r="A54" s="1">
        <v>286</v>
      </c>
      <c r="B54" s="2" t="s">
        <v>298</v>
      </c>
      <c r="C54" s="2" t="str">
        <f>IF(COUNTIF($X$3:$X$20,B54)&gt;0,$X$2,
 IF(COUNTIF($Y$3:$Y$20,B54)&gt;0,$Y$2,
 IF(COUNTIF($Z$3:$Z$20,B54)&gt;0,$Z$2,
 IF(COUNTIF($AA$3:$AA$20,B54)&gt;0,$AA$2,
 IF(COUNTIF($AB$3:$AB$20,B54)&gt;0,$AB$2,
 IF(COUNTIF($AC$3:$AC$20,B54)&gt;0,$AC$2,
 IF(COUNTIF($AD$3:$AD$20,B54)&gt;0,$AD$2,
 "Not Found")))))))</f>
        <v>Not Found</v>
      </c>
      <c r="D54" s="2" t="s">
        <v>10</v>
      </c>
      <c r="E54" s="2" t="s">
        <v>11</v>
      </c>
      <c r="F54" s="2">
        <v>144</v>
      </c>
      <c r="G54" s="4">
        <v>0.30599999999999999</v>
      </c>
      <c r="H54" s="2">
        <v>-1080</v>
      </c>
      <c r="I54" s="2">
        <v>96.2</v>
      </c>
      <c r="J54" s="2">
        <v>106.8</v>
      </c>
      <c r="K54" s="4">
        <v>0.51100000000000001</v>
      </c>
      <c r="L54" s="4">
        <v>0.56599999999999995</v>
      </c>
      <c r="M54" s="2">
        <v>432</v>
      </c>
      <c r="N54" s="4">
        <v>0.71299999999999997</v>
      </c>
      <c r="O54" s="8">
        <f>Table1[[#This Row],[PT MARGIN]]/Table1[[#This Row],[G]]</f>
        <v>-7.5</v>
      </c>
    </row>
    <row r="55" spans="1:15" hidden="1" x14ac:dyDescent="0.2">
      <c r="A55" s="1">
        <v>202</v>
      </c>
      <c r="B55" s="2" t="s">
        <v>382</v>
      </c>
      <c r="C55" s="2" t="str">
        <f>IF(COUNTIF($X$3:$X$20,B55)&gt;0,$X$2,
 IF(COUNTIF($Y$3:$Y$20,B55)&gt;0,$Y$2,
 IF(COUNTIF($Z$3:$Z$20,B55)&gt;0,$Z$2,
 IF(COUNTIF($AA$3:$AA$20,B55)&gt;0,$AA$2,
 IF(COUNTIF($AB$3:$AB$20,B55)&gt;0,$AB$2,
 IF(COUNTIF($AC$3:$AC$20,B55)&gt;0,$AC$2,
 IF(COUNTIF($AD$3:$AD$20,B55)&gt;0,$AD$2,
 "Not Found")))))))</f>
        <v>Not Found</v>
      </c>
      <c r="D55" s="2" t="s">
        <v>10</v>
      </c>
      <c r="E55" s="2" t="s">
        <v>11</v>
      </c>
      <c r="F55" s="2">
        <v>121</v>
      </c>
      <c r="G55" s="4">
        <v>0.33100000000000002</v>
      </c>
      <c r="H55" s="2">
        <v>-676</v>
      </c>
      <c r="I55" s="2">
        <v>99</v>
      </c>
      <c r="J55" s="2">
        <v>106.8</v>
      </c>
      <c r="K55" s="4">
        <v>0.52200000000000002</v>
      </c>
      <c r="L55" s="4">
        <v>0.54600000000000004</v>
      </c>
      <c r="M55" s="2">
        <v>269</v>
      </c>
      <c r="N55" s="4">
        <v>0.71199999999999997</v>
      </c>
      <c r="O55" s="8">
        <f>Table1[[#This Row],[PT MARGIN]]/Table1[[#This Row],[G]]</f>
        <v>-5.5867768595041323</v>
      </c>
    </row>
    <row r="56" spans="1:15" hidden="1" x14ac:dyDescent="0.2">
      <c r="A56" s="1">
        <v>48</v>
      </c>
      <c r="B56" s="2" t="s">
        <v>58</v>
      </c>
      <c r="C56" s="2" t="str">
        <f>IF(COUNTIF($X$3:$X$20,B56)&gt;0,$X$2,
 IF(COUNTIF($Y$3:$Y$20,B56)&gt;0,$Y$2,
 IF(COUNTIF($Z$3:$Z$20,B56)&gt;0,$Z$2,
 IF(COUNTIF($AA$3:$AA$20,B56)&gt;0,$AA$2,
 IF(COUNTIF($AB$3:$AB$20,B56)&gt;0,$AB$2,
 IF(COUNTIF($AC$3:$AC$20,B56)&gt;0,$AC$2,
 IF(COUNTIF($AD$3:$AD$20,B56)&gt;0,$AD$2,
 "Not Found")))))))</f>
        <v>Not Found</v>
      </c>
      <c r="D56" s="2" t="s">
        <v>10</v>
      </c>
      <c r="E56" s="2" t="s">
        <v>11</v>
      </c>
      <c r="F56" s="2">
        <v>153</v>
      </c>
      <c r="G56" s="4">
        <v>0.48399999999999999</v>
      </c>
      <c r="H56" s="2">
        <v>-16</v>
      </c>
      <c r="I56" s="2">
        <v>103.9</v>
      </c>
      <c r="J56" s="2">
        <v>104.1</v>
      </c>
      <c r="K56" s="4">
        <v>0.55500000000000005</v>
      </c>
      <c r="L56" s="4">
        <v>0.54200000000000004</v>
      </c>
      <c r="M56" s="2">
        <v>68</v>
      </c>
      <c r="N56" s="4">
        <v>0.70799999999999996</v>
      </c>
      <c r="O56" s="8">
        <f>Table1[[#This Row],[PT MARGIN]]/Table1[[#This Row],[G]]</f>
        <v>-0.10457516339869281</v>
      </c>
    </row>
    <row r="57" spans="1:15" hidden="1" x14ac:dyDescent="0.2">
      <c r="A57" s="1">
        <v>18</v>
      </c>
      <c r="B57" s="2" t="s">
        <v>28</v>
      </c>
      <c r="C57" s="2" t="str">
        <f>IF(COUNTIF($X$3:$X$20,B57)&gt;0,$X$2,
 IF(COUNTIF($Y$3:$Y$20,B57)&gt;0,$Y$2,
 IF(COUNTIF($Z$3:$Z$20,B57)&gt;0,$Z$2,
 IF(COUNTIF($AA$3:$AA$20,B57)&gt;0,$AA$2,
 IF(COUNTIF($AB$3:$AB$20,B57)&gt;0,$AB$2,
 IF(COUNTIF($AC$3:$AC$20,B57)&gt;0,$AC$2,
 IF(COUNTIF($AD$3:$AD$20,B57)&gt;0,$AD$2,
 "Not Found")))))))</f>
        <v>Not Found</v>
      </c>
      <c r="D57" s="2" t="s">
        <v>10</v>
      </c>
      <c r="E57" s="2" t="s">
        <v>11</v>
      </c>
      <c r="F57" s="2">
        <v>122</v>
      </c>
      <c r="G57" s="4">
        <v>0.59799999999999998</v>
      </c>
      <c r="H57" s="2">
        <v>226</v>
      </c>
      <c r="I57" s="2">
        <v>105.3</v>
      </c>
      <c r="J57" s="2">
        <v>102.6</v>
      </c>
      <c r="K57" s="4">
        <v>0.55000000000000004</v>
      </c>
      <c r="L57" s="4">
        <v>0.54600000000000004</v>
      </c>
      <c r="M57" s="2">
        <v>153</v>
      </c>
      <c r="N57" s="4">
        <v>0.71699999999999997</v>
      </c>
      <c r="O57" s="8">
        <f>Table1[[#This Row],[PT MARGIN]]/Table1[[#This Row],[G]]</f>
        <v>1.8524590163934427</v>
      </c>
    </row>
    <row r="58" spans="1:15" x14ac:dyDescent="0.2">
      <c r="A58" s="1">
        <v>134</v>
      </c>
      <c r="B58" s="2" t="s">
        <v>150</v>
      </c>
      <c r="C58" s="2" t="str">
        <f>IF(COUNTIF($X$3:$X$20,B58)&gt;0,$X$2,
 IF(COUNTIF($Y$3:$Y$20,B58)&gt;0,$Y$2,
 IF(COUNTIF($Z$3:$Z$20,B58)&gt;0,$Z$2,
 IF(COUNTIF($AA$3:$AA$20,B58)&gt;0,$AA$2,
 IF(COUNTIF($AB$3:$AB$20,B58)&gt;0,$AB$2,
 IF(COUNTIF($AC$3:$AC$20,B58)&gt;0,$AC$2,
 IF(COUNTIF($AD$3:$AD$20,B58)&gt;0,$AD$2,
 "Not Found")))))))</f>
        <v>Big 12</v>
      </c>
      <c r="D58" s="2" t="s">
        <v>10</v>
      </c>
      <c r="E58" s="2" t="s">
        <v>11</v>
      </c>
      <c r="F58" s="2">
        <v>112</v>
      </c>
      <c r="G58" s="4">
        <v>0.32100000000000001</v>
      </c>
      <c r="H58" s="2">
        <v>-437</v>
      </c>
      <c r="I58" s="2">
        <v>97.4</v>
      </c>
      <c r="J58" s="2">
        <v>103</v>
      </c>
      <c r="K58" s="4">
        <v>0.51900000000000002</v>
      </c>
      <c r="L58" s="4">
        <v>0.53900000000000003</v>
      </c>
      <c r="M58" s="2">
        <v>32</v>
      </c>
      <c r="N58" s="4">
        <v>0.71099999999999997</v>
      </c>
      <c r="O58" s="8">
        <f>Table1[[#This Row],[PT MARGIN]]/Table1[[#This Row],[G]]</f>
        <v>-3.9017857142857144</v>
      </c>
    </row>
    <row r="59" spans="1:15" hidden="1" x14ac:dyDescent="0.2">
      <c r="A59" s="1">
        <v>91</v>
      </c>
      <c r="B59" s="2" t="s">
        <v>103</v>
      </c>
      <c r="C59" s="2" t="str">
        <f>IF(COUNTIF($X$3:$X$20,B59)&gt;0,$X$2,
 IF(COUNTIF($Y$3:$Y$20,B59)&gt;0,$Y$2,
 IF(COUNTIF($Z$3:$Z$20,B59)&gt;0,$Z$2,
 IF(COUNTIF($AA$3:$AA$20,B59)&gt;0,$AA$2,
 IF(COUNTIF($AB$3:$AB$20,B59)&gt;0,$AB$2,
 IF(COUNTIF($AC$3:$AC$20,B59)&gt;0,$AC$2,
 IF(COUNTIF($AD$3:$AD$20,B59)&gt;0,$AD$2,
 "Not Found")))))))</f>
        <v>Not Found</v>
      </c>
      <c r="D59" s="2" t="s">
        <v>10</v>
      </c>
      <c r="E59" s="2" t="s">
        <v>11</v>
      </c>
      <c r="F59" s="2">
        <v>111</v>
      </c>
      <c r="G59" s="4">
        <v>0.432</v>
      </c>
      <c r="H59" s="2">
        <v>-274</v>
      </c>
      <c r="I59" s="2">
        <v>100.7</v>
      </c>
      <c r="J59" s="2">
        <v>104.3</v>
      </c>
      <c r="K59" s="4">
        <v>0.54100000000000004</v>
      </c>
      <c r="L59" s="4">
        <v>0.54100000000000004</v>
      </c>
      <c r="M59" s="2">
        <v>39</v>
      </c>
      <c r="N59" s="4">
        <v>0.69299999999999995</v>
      </c>
      <c r="O59" s="8">
        <f>Table1[[#This Row],[PT MARGIN]]/Table1[[#This Row],[G]]</f>
        <v>-2.4684684684684686</v>
      </c>
    </row>
    <row r="60" spans="1:15" hidden="1" x14ac:dyDescent="0.2">
      <c r="A60" s="1">
        <v>271</v>
      </c>
      <c r="B60" s="2" t="s">
        <v>313</v>
      </c>
      <c r="C60" s="2" t="str">
        <f>IF(COUNTIF($X$3:$X$20,B60)&gt;0,$X$2,
 IF(COUNTIF($Y$3:$Y$20,B60)&gt;0,$Y$2,
 IF(COUNTIF($Z$3:$Z$20,B60)&gt;0,$Z$2,
 IF(COUNTIF($AA$3:$AA$20,B60)&gt;0,$AA$2,
 IF(COUNTIF($AB$3:$AB$20,B60)&gt;0,$AB$2,
 IF(COUNTIF($AC$3:$AC$20,B60)&gt;0,$AC$2,
 IF(COUNTIF($AD$3:$AD$20,B60)&gt;0,$AD$2,
 "Not Found")))))))</f>
        <v>Not Found</v>
      </c>
      <c r="D60" s="2" t="s">
        <v>10</v>
      </c>
      <c r="E60" s="2" t="s">
        <v>11</v>
      </c>
      <c r="F60" s="2">
        <v>122</v>
      </c>
      <c r="G60" s="4">
        <v>0.20499999999999999</v>
      </c>
      <c r="H60" s="2">
        <v>-994</v>
      </c>
      <c r="I60" s="2">
        <v>97.3</v>
      </c>
      <c r="J60" s="2">
        <v>108.6</v>
      </c>
      <c r="K60" s="4">
        <v>0.51900000000000002</v>
      </c>
      <c r="L60" s="4">
        <v>0.56699999999999995</v>
      </c>
      <c r="M60" s="2">
        <v>223</v>
      </c>
      <c r="N60" s="4">
        <v>0.69699999999999995</v>
      </c>
      <c r="O60" s="8">
        <f>Table1[[#This Row],[PT MARGIN]]/Table1[[#This Row],[G]]</f>
        <v>-8.1475409836065573</v>
      </c>
    </row>
    <row r="61" spans="1:15" x14ac:dyDescent="0.2">
      <c r="A61" s="1">
        <v>40</v>
      </c>
      <c r="B61" s="2" t="s">
        <v>50</v>
      </c>
      <c r="C61" s="2" t="str">
        <f>IF(COUNTIF($X$3:$X$20,B61)&gt;0,$X$2,
 IF(COUNTIF($Y$3:$Y$20,B61)&gt;0,$Y$2,
 IF(COUNTIF($Z$3:$Z$20,B61)&gt;0,$Z$2,
 IF(COUNTIF($AA$3:$AA$20,B61)&gt;0,$AA$2,
 IF(COUNTIF($AB$3:$AB$20,B61)&gt;0,$AB$2,
 IF(COUNTIF($AC$3:$AC$20,B61)&gt;0,$AC$2,
 IF(COUNTIF($AD$3:$AD$20,B61)&gt;0,$AD$2,
 "Not Found")))))))</f>
        <v>Big East</v>
      </c>
      <c r="D61" s="2" t="s">
        <v>10</v>
      </c>
      <c r="E61" s="2" t="s">
        <v>11</v>
      </c>
      <c r="F61" s="2">
        <v>104</v>
      </c>
      <c r="G61" s="4">
        <v>0.46200000000000002</v>
      </c>
      <c r="H61" s="2">
        <v>22</v>
      </c>
      <c r="I61" s="2">
        <v>102.7</v>
      </c>
      <c r="J61" s="2">
        <v>102.3</v>
      </c>
      <c r="K61" s="4">
        <v>0.53100000000000003</v>
      </c>
      <c r="L61" s="4">
        <v>0.53100000000000003</v>
      </c>
      <c r="M61" s="2">
        <v>351</v>
      </c>
      <c r="N61" s="4">
        <v>0.71299999999999997</v>
      </c>
      <c r="O61" s="8">
        <f>Table1[[#This Row],[PT MARGIN]]/Table1[[#This Row],[G]]</f>
        <v>0.21153846153846154</v>
      </c>
    </row>
    <row r="62" spans="1:15" hidden="1" x14ac:dyDescent="0.2">
      <c r="A62" s="1">
        <v>364</v>
      </c>
      <c r="B62" s="2" t="s">
        <v>220</v>
      </c>
      <c r="C62" s="2" t="str">
        <f>IF(COUNTIF($X$3:$X$20,B62)&gt;0,$X$2,
 IF(COUNTIF($Y$3:$Y$20,B62)&gt;0,$Y$2,
 IF(COUNTIF($Z$3:$Z$20,B62)&gt;0,$Z$2,
 IF(COUNTIF($AA$3:$AA$20,B62)&gt;0,$AA$2,
 IF(COUNTIF($AB$3:$AB$20,B62)&gt;0,$AB$2,
 IF(COUNTIF($AC$3:$AC$20,B62)&gt;0,$AC$2,
 IF(COUNTIF($AD$3:$AD$20,B62)&gt;0,$AD$2,
 "Not Found")))))))</f>
        <v>Not Found</v>
      </c>
      <c r="D62" s="2" t="s">
        <v>10</v>
      </c>
      <c r="E62" s="2" t="s">
        <v>11</v>
      </c>
      <c r="F62" s="2">
        <v>187</v>
      </c>
      <c r="G62" s="4">
        <v>0.16600000000000001</v>
      </c>
      <c r="H62" s="2">
        <v>-2902</v>
      </c>
      <c r="I62" s="2">
        <v>86.6</v>
      </c>
      <c r="J62" s="2">
        <v>107.8</v>
      </c>
      <c r="K62" s="4">
        <v>0.47499999999999998</v>
      </c>
      <c r="L62" s="4">
        <v>0.55900000000000005</v>
      </c>
      <c r="M62" s="2">
        <v>390</v>
      </c>
      <c r="N62" s="4">
        <v>0.70699999999999996</v>
      </c>
      <c r="O62" s="8">
        <f>Table1[[#This Row],[PT MARGIN]]/Table1[[#This Row],[G]]</f>
        <v>-15.518716577540108</v>
      </c>
    </row>
    <row r="63" spans="1:15" hidden="1" x14ac:dyDescent="0.2">
      <c r="A63" s="1">
        <v>231</v>
      </c>
      <c r="B63" s="2" t="s">
        <v>353</v>
      </c>
      <c r="C63" s="2" t="str">
        <f>IF(COUNTIF($X$3:$X$20,B63)&gt;0,$X$2,
 IF(COUNTIF($Y$3:$Y$20,B63)&gt;0,$Y$2,
 IF(COUNTIF($Z$3:$Z$20,B63)&gt;0,$Z$2,
 IF(COUNTIF($AA$3:$AA$20,B63)&gt;0,$AA$2,
 IF(COUNTIF($AB$3:$AB$20,B63)&gt;0,$AB$2,
 IF(COUNTIF($AC$3:$AC$20,B63)&gt;0,$AC$2,
 IF(COUNTIF($AD$3:$AD$20,B63)&gt;0,$AD$2,
 "Not Found")))))))</f>
        <v>Not Found</v>
      </c>
      <c r="D63" s="2" t="s">
        <v>10</v>
      </c>
      <c r="E63" s="2" t="s">
        <v>11</v>
      </c>
      <c r="F63" s="2">
        <v>133</v>
      </c>
      <c r="G63" s="4">
        <v>0.36799999999999999</v>
      </c>
      <c r="H63" s="2">
        <v>-792</v>
      </c>
      <c r="I63" s="2">
        <v>100.4</v>
      </c>
      <c r="J63" s="2">
        <v>108.6</v>
      </c>
      <c r="K63" s="4">
        <v>0.54600000000000004</v>
      </c>
      <c r="L63" s="4">
        <v>0.56100000000000005</v>
      </c>
      <c r="M63" s="2">
        <v>72</v>
      </c>
      <c r="N63" s="4">
        <v>0.71399999999999997</v>
      </c>
      <c r="O63" s="8">
        <f>Table1[[#This Row],[PT MARGIN]]/Table1[[#This Row],[G]]</f>
        <v>-5.9548872180451129</v>
      </c>
    </row>
    <row r="64" spans="1:15" x14ac:dyDescent="0.2">
      <c r="A64" s="1">
        <v>54</v>
      </c>
      <c r="B64" s="2" t="s">
        <v>64</v>
      </c>
      <c r="C64" s="2" t="str">
        <f>IF(COUNTIF($X$3:$X$20,B64)&gt;0,$X$2,
 IF(COUNTIF($Y$3:$Y$20,B64)&gt;0,$Y$2,
 IF(COUNTIF($Z$3:$Z$20,B64)&gt;0,$Z$2,
 IF(COUNTIF($AA$3:$AA$20,B64)&gt;0,$AA$2,
 IF(COUNTIF($AB$3:$AB$20,B64)&gt;0,$AB$2,
 IF(COUNTIF($AC$3:$AC$20,B64)&gt;0,$AC$2,
 IF(COUNTIF($AD$3:$AD$20,B64)&gt;0,$AD$2,
 "Not Found")))))))</f>
        <v>Big East</v>
      </c>
      <c r="D64" s="2" t="s">
        <v>10</v>
      </c>
      <c r="E64" s="2" t="s">
        <v>11</v>
      </c>
      <c r="F64" s="2">
        <v>113</v>
      </c>
      <c r="G64" s="4">
        <v>0.504</v>
      </c>
      <c r="H64" s="2">
        <v>-53</v>
      </c>
      <c r="I64" s="2">
        <v>102.1</v>
      </c>
      <c r="J64" s="2">
        <v>102.8</v>
      </c>
      <c r="K64" s="4">
        <v>0.54500000000000004</v>
      </c>
      <c r="L64" s="4">
        <v>0.52300000000000002</v>
      </c>
      <c r="M64" s="2">
        <v>2</v>
      </c>
      <c r="N64" s="4">
        <v>0.72799999999999998</v>
      </c>
      <c r="O64" s="8">
        <f>Table1[[#This Row],[PT MARGIN]]/Table1[[#This Row],[G]]</f>
        <v>-0.46902654867256638</v>
      </c>
    </row>
    <row r="65" spans="1:15" hidden="1" x14ac:dyDescent="0.2">
      <c r="A65" s="1">
        <v>278</v>
      </c>
      <c r="B65" s="2" t="s">
        <v>306</v>
      </c>
      <c r="C65" s="2" t="str">
        <f>IF(COUNTIF($X$3:$X$20,B65)&gt;0,$X$2,
 IF(COUNTIF($Y$3:$Y$20,B65)&gt;0,$Y$2,
 IF(COUNTIF($Z$3:$Z$20,B65)&gt;0,$Z$2,
 IF(COUNTIF($AA$3:$AA$20,B65)&gt;0,$AA$2,
 IF(COUNTIF($AB$3:$AB$20,B65)&gt;0,$AB$2,
 IF(COUNTIF($AC$3:$AC$20,B65)&gt;0,$AC$2,
 IF(COUNTIF($AD$3:$AD$20,B65)&gt;0,$AD$2,
 "Not Found")))))))</f>
        <v>Not Found</v>
      </c>
      <c r="D65" s="2" t="s">
        <v>10</v>
      </c>
      <c r="E65" s="2" t="s">
        <v>11</v>
      </c>
      <c r="F65" s="2">
        <v>130</v>
      </c>
      <c r="G65" s="4">
        <v>0.2</v>
      </c>
      <c r="H65" s="2">
        <v>-1021</v>
      </c>
      <c r="I65" s="2">
        <v>94.8</v>
      </c>
      <c r="J65" s="2">
        <v>106</v>
      </c>
      <c r="K65" s="4">
        <v>0.51700000000000002</v>
      </c>
      <c r="L65" s="4">
        <v>0.55800000000000005</v>
      </c>
      <c r="M65" s="2">
        <v>25</v>
      </c>
      <c r="N65" s="4">
        <v>0.71099999999999997</v>
      </c>
      <c r="O65" s="8">
        <f>Table1[[#This Row],[PT MARGIN]]/Table1[[#This Row],[G]]</f>
        <v>-7.8538461538461535</v>
      </c>
    </row>
    <row r="66" spans="1:15" hidden="1" x14ac:dyDescent="0.2">
      <c r="A66" s="1">
        <v>46</v>
      </c>
      <c r="B66" s="2" t="s">
        <v>56</v>
      </c>
      <c r="C66" s="2" t="str">
        <f>IF(COUNTIF($X$3:$X$20,B66)&gt;0,$X$2,
 IF(COUNTIF($Y$3:$Y$20,B66)&gt;0,$Y$2,
 IF(COUNTIF($Z$3:$Z$20,B66)&gt;0,$Z$2,
 IF(COUNTIF($AA$3:$AA$20,B66)&gt;0,$AA$2,
 IF(COUNTIF($AB$3:$AB$20,B66)&gt;0,$AB$2,
 IF(COUNTIF($AC$3:$AC$20,B66)&gt;0,$AC$2,
 IF(COUNTIF($AD$3:$AD$20,B66)&gt;0,$AD$2,
 "Not Found")))))))</f>
        <v>Not Found</v>
      </c>
      <c r="D66" s="2" t="s">
        <v>10</v>
      </c>
      <c r="E66" s="2" t="s">
        <v>11</v>
      </c>
      <c r="F66" s="2">
        <v>115</v>
      </c>
      <c r="G66" s="4">
        <v>0.45200000000000001</v>
      </c>
      <c r="H66" s="2">
        <v>-4</v>
      </c>
      <c r="I66" s="2">
        <v>106.3</v>
      </c>
      <c r="J66" s="2">
        <v>106.4</v>
      </c>
      <c r="K66" s="4">
        <v>0.55500000000000005</v>
      </c>
      <c r="L66" s="4">
        <v>0.55400000000000005</v>
      </c>
      <c r="M66" s="2">
        <v>-27</v>
      </c>
      <c r="N66" s="4">
        <v>0.72299999999999998</v>
      </c>
      <c r="O66" s="8">
        <f>Table1[[#This Row],[PT MARGIN]]/Table1[[#This Row],[G]]</f>
        <v>-3.4782608695652174E-2</v>
      </c>
    </row>
    <row r="67" spans="1:15" hidden="1" x14ac:dyDescent="0.2">
      <c r="A67" s="1">
        <v>10</v>
      </c>
      <c r="B67" s="2" t="s">
        <v>20</v>
      </c>
      <c r="C67" s="2" t="str">
        <f>IF(COUNTIF($X$3:$X$20,B67)&gt;0,$X$2,
 IF(COUNTIF($Y$3:$Y$20,B67)&gt;0,$Y$2,
 IF(COUNTIF($Z$3:$Z$20,B67)&gt;0,$Z$2,
 IF(COUNTIF($AA$3:$AA$20,B67)&gt;0,$AA$2,
 IF(COUNTIF($AB$3:$AB$20,B67)&gt;0,$AB$2,
 IF(COUNTIF($AC$3:$AC$20,B67)&gt;0,$AC$2,
 IF(COUNTIF($AD$3:$AD$20,B67)&gt;0,$AD$2,
 "Not Found")))))))</f>
        <v>Not Found</v>
      </c>
      <c r="D67" s="2" t="s">
        <v>10</v>
      </c>
      <c r="E67" s="2" t="s">
        <v>11</v>
      </c>
      <c r="F67" s="2">
        <v>101</v>
      </c>
      <c r="G67" s="4">
        <v>0.57399999999999995</v>
      </c>
      <c r="H67" s="2">
        <v>293</v>
      </c>
      <c r="I67" s="2">
        <v>104</v>
      </c>
      <c r="J67" s="2">
        <v>99.7</v>
      </c>
      <c r="K67" s="4">
        <v>0.55900000000000005</v>
      </c>
      <c r="L67" s="4">
        <v>0.52</v>
      </c>
      <c r="M67" s="2">
        <v>-1</v>
      </c>
      <c r="N67" s="4">
        <v>0.70299999999999996</v>
      </c>
      <c r="O67" s="8">
        <f>Table1[[#This Row],[PT MARGIN]]/Table1[[#This Row],[G]]</f>
        <v>2.9009900990099009</v>
      </c>
    </row>
    <row r="68" spans="1:15" hidden="1" x14ac:dyDescent="0.2">
      <c r="A68" s="1">
        <v>228</v>
      </c>
      <c r="B68" s="2" t="s">
        <v>356</v>
      </c>
      <c r="C68" s="2" t="str">
        <f>IF(COUNTIF($X$3:$X$20,B68)&gt;0,$X$2,
 IF(COUNTIF($Y$3:$Y$20,B68)&gt;0,$Y$2,
 IF(COUNTIF($Z$3:$Z$20,B68)&gt;0,$Z$2,
 IF(COUNTIF($AA$3:$AA$20,B68)&gt;0,$AA$2,
 IF(COUNTIF($AB$3:$AB$20,B68)&gt;0,$AB$2,
 IF(COUNTIF($AC$3:$AC$20,B68)&gt;0,$AC$2,
 IF(COUNTIF($AD$3:$AD$20,B68)&gt;0,$AD$2,
 "Not Found")))))))</f>
        <v>Not Found</v>
      </c>
      <c r="D68" s="2" t="s">
        <v>10</v>
      </c>
      <c r="E68" s="2" t="s">
        <v>11</v>
      </c>
      <c r="F68" s="2">
        <v>134</v>
      </c>
      <c r="G68" s="4">
        <v>0.35099999999999998</v>
      </c>
      <c r="H68" s="2">
        <v>-790</v>
      </c>
      <c r="I68" s="2">
        <v>99.6</v>
      </c>
      <c r="J68" s="2">
        <v>108.1</v>
      </c>
      <c r="K68" s="4">
        <v>0.53100000000000003</v>
      </c>
      <c r="L68" s="4">
        <v>0.55400000000000005</v>
      </c>
      <c r="M68" s="2">
        <v>24</v>
      </c>
      <c r="N68" s="4">
        <v>0.72</v>
      </c>
      <c r="O68" s="8">
        <f>Table1[[#This Row],[PT MARGIN]]/Table1[[#This Row],[G]]</f>
        <v>-5.8955223880597014</v>
      </c>
    </row>
    <row r="69" spans="1:15" hidden="1" x14ac:dyDescent="0.2">
      <c r="A69" s="1">
        <v>363</v>
      </c>
      <c r="B69" s="2" t="s">
        <v>221</v>
      </c>
      <c r="C69" s="2" t="str">
        <f>IF(COUNTIF($X$3:$X$20,B69)&gt;0,$X$2,
 IF(COUNTIF($Y$3:$Y$20,B69)&gt;0,$Y$2,
 IF(COUNTIF($Z$3:$Z$20,B69)&gt;0,$Z$2,
 IF(COUNTIF($AA$3:$AA$20,B69)&gt;0,$AA$2,
 IF(COUNTIF($AB$3:$AB$20,B69)&gt;0,$AB$2,
 IF(COUNTIF($AC$3:$AC$20,B69)&gt;0,$AC$2,
 IF(COUNTIF($AD$3:$AD$20,B69)&gt;0,$AD$2,
 "Not Found")))))))</f>
        <v>Not Found</v>
      </c>
      <c r="D69" s="2" t="s">
        <v>10</v>
      </c>
      <c r="E69" s="2" t="s">
        <v>11</v>
      </c>
      <c r="F69" s="2">
        <v>156</v>
      </c>
      <c r="G69" s="4">
        <v>0.128</v>
      </c>
      <c r="H69" s="2">
        <v>-2604</v>
      </c>
      <c r="I69" s="2">
        <v>88.6</v>
      </c>
      <c r="J69" s="2">
        <v>111.6</v>
      </c>
      <c r="K69" s="4">
        <v>0.48299999999999998</v>
      </c>
      <c r="L69" s="4">
        <v>0.57999999999999996</v>
      </c>
      <c r="M69" s="2">
        <v>442</v>
      </c>
      <c r="N69" s="4">
        <v>0.71399999999999997</v>
      </c>
      <c r="O69" s="8">
        <f>Table1[[#This Row],[PT MARGIN]]/Table1[[#This Row],[G]]</f>
        <v>-16.692307692307693</v>
      </c>
    </row>
    <row r="70" spans="1:15" hidden="1" x14ac:dyDescent="0.2">
      <c r="A70" s="1">
        <v>312</v>
      </c>
      <c r="B70" s="2" t="s">
        <v>272</v>
      </c>
      <c r="C70" s="2" t="str">
        <f>IF(COUNTIF($X$3:$X$20,B70)&gt;0,$X$2,
 IF(COUNTIF($Y$3:$Y$20,B70)&gt;0,$Y$2,
 IF(COUNTIF($Z$3:$Z$20,B70)&gt;0,$Z$2,
 IF(COUNTIF($AA$3:$AA$20,B70)&gt;0,$AA$2,
 IF(COUNTIF($AB$3:$AB$20,B70)&gt;0,$AB$2,
 IF(COUNTIF($AC$3:$AC$20,B70)&gt;0,$AC$2,
 IF(COUNTIF($AD$3:$AD$20,B70)&gt;0,$AD$2,
 "Not Found")))))))</f>
        <v>Not Found</v>
      </c>
      <c r="D70" s="2" t="s">
        <v>10</v>
      </c>
      <c r="E70" s="2" t="s">
        <v>11</v>
      </c>
      <c r="F70" s="2">
        <v>138</v>
      </c>
      <c r="G70" s="4">
        <v>0.23200000000000001</v>
      </c>
      <c r="H70" s="2">
        <v>-1265</v>
      </c>
      <c r="I70" s="2">
        <v>98.5</v>
      </c>
      <c r="J70" s="2">
        <v>111.5</v>
      </c>
      <c r="K70" s="4">
        <v>0.54200000000000004</v>
      </c>
      <c r="L70" s="4">
        <v>0.58399999999999996</v>
      </c>
      <c r="M70" s="2">
        <v>284</v>
      </c>
      <c r="N70" s="4">
        <v>0.745</v>
      </c>
      <c r="O70" s="8">
        <f>Table1[[#This Row],[PT MARGIN]]/Table1[[#This Row],[G]]</f>
        <v>-9.1666666666666661</v>
      </c>
    </row>
    <row r="71" spans="1:15" x14ac:dyDescent="0.2">
      <c r="A71" s="1">
        <v>300</v>
      </c>
      <c r="B71" s="2" t="s">
        <v>284</v>
      </c>
      <c r="C71" s="2" t="str">
        <f>IF(COUNTIF($X$3:$X$20,B71)&gt;0,$X$2,
 IF(COUNTIF($Y$3:$Y$20,B71)&gt;0,$Y$2,
 IF(COUNTIF($Z$3:$Z$20,B71)&gt;0,$Z$2,
 IF(COUNTIF($AA$3:$AA$20,B71)&gt;0,$AA$2,
 IF(COUNTIF($AB$3:$AB$20,B71)&gt;0,$AB$2,
 IF(COUNTIF($AC$3:$AC$20,B71)&gt;0,$AC$2,
 IF(COUNTIF($AD$3:$AD$20,B71)&gt;0,$AD$2,
 "Not Found")))))))</f>
        <v>Big East</v>
      </c>
      <c r="D71" s="2" t="s">
        <v>10</v>
      </c>
      <c r="E71" s="2" t="s">
        <v>11</v>
      </c>
      <c r="F71" s="2">
        <v>114</v>
      </c>
      <c r="G71" s="4">
        <v>0.219</v>
      </c>
      <c r="H71" s="2">
        <v>-1156</v>
      </c>
      <c r="I71" s="2">
        <v>94.4</v>
      </c>
      <c r="J71" s="2">
        <v>108.7</v>
      </c>
      <c r="K71" s="4">
        <v>0.51</v>
      </c>
      <c r="L71" s="4">
        <v>0.56599999999999995</v>
      </c>
      <c r="M71" s="2">
        <v>252</v>
      </c>
      <c r="N71" s="4">
        <v>0.73499999999999999</v>
      </c>
      <c r="O71" s="8">
        <f>Table1[[#This Row],[PT MARGIN]]/Table1[[#This Row],[G]]</f>
        <v>-10.140350877192983</v>
      </c>
    </row>
    <row r="72" spans="1:15" hidden="1" x14ac:dyDescent="0.2">
      <c r="A72" s="1">
        <v>343</v>
      </c>
      <c r="B72" s="2" t="s">
        <v>241</v>
      </c>
      <c r="C72" s="2" t="str">
        <f>IF(COUNTIF($X$3:$X$20,B72)&gt;0,$X$2,
 IF(COUNTIF($Y$3:$Y$20,B72)&gt;0,$Y$2,
 IF(COUNTIF($Z$3:$Z$20,B72)&gt;0,$Z$2,
 IF(COUNTIF($AA$3:$AA$20,B72)&gt;0,$AA$2,
 IF(COUNTIF($AB$3:$AB$20,B72)&gt;0,$AB$2,
 IF(COUNTIF($AC$3:$AC$20,B72)&gt;0,$AC$2,
 IF(COUNTIF($AD$3:$AD$20,B72)&gt;0,$AD$2,
 "Not Found")))))))</f>
        <v>Not Found</v>
      </c>
      <c r="D72" s="2" t="s">
        <v>10</v>
      </c>
      <c r="E72" s="2" t="s">
        <v>11</v>
      </c>
      <c r="F72" s="2">
        <v>155</v>
      </c>
      <c r="G72" s="4">
        <v>0.20599999999999999</v>
      </c>
      <c r="H72" s="2">
        <v>-1654</v>
      </c>
      <c r="I72" s="2">
        <v>98.2</v>
      </c>
      <c r="J72" s="2">
        <v>113</v>
      </c>
      <c r="K72" s="4">
        <v>0.51700000000000002</v>
      </c>
      <c r="L72" s="4">
        <v>0.58599999999999997</v>
      </c>
      <c r="M72" s="2">
        <v>297</v>
      </c>
      <c r="N72" s="4">
        <v>0.73</v>
      </c>
      <c r="O72" s="8">
        <f>Table1[[#This Row],[PT MARGIN]]/Table1[[#This Row],[G]]</f>
        <v>-10.670967741935485</v>
      </c>
    </row>
    <row r="73" spans="1:15" hidden="1" x14ac:dyDescent="0.2">
      <c r="A73" s="1">
        <v>90</v>
      </c>
      <c r="B73" s="2" t="s">
        <v>102</v>
      </c>
      <c r="C73" s="2" t="str">
        <f>IF(COUNTIF($X$3:$X$20,B73)&gt;0,$X$2,
 IF(COUNTIF($Y$3:$Y$20,B73)&gt;0,$Y$2,
 IF(COUNTIF($Z$3:$Z$20,B73)&gt;0,$Z$2,
 IF(COUNTIF($AA$3:$AA$20,B73)&gt;0,$AA$2,
 IF(COUNTIF($AB$3:$AB$20,B73)&gt;0,$AB$2,
 IF(COUNTIF($AC$3:$AC$20,B73)&gt;0,$AC$2,
 IF(COUNTIF($AD$3:$AD$20,B73)&gt;0,$AD$2,
 "Not Found")))))))</f>
        <v>Not Found</v>
      </c>
      <c r="D73" s="2" t="s">
        <v>10</v>
      </c>
      <c r="E73" s="2" t="s">
        <v>11</v>
      </c>
      <c r="F73" s="2">
        <v>117</v>
      </c>
      <c r="G73" s="4">
        <v>0.45300000000000001</v>
      </c>
      <c r="H73" s="2">
        <v>-267</v>
      </c>
      <c r="I73" s="2">
        <v>100.1</v>
      </c>
      <c r="J73" s="2">
        <v>103.4</v>
      </c>
      <c r="K73" s="4">
        <v>0.53700000000000003</v>
      </c>
      <c r="L73" s="4">
        <v>0.54600000000000004</v>
      </c>
      <c r="M73" s="2">
        <v>173</v>
      </c>
      <c r="N73" s="4">
        <v>0.71899999999999997</v>
      </c>
      <c r="O73" s="8">
        <f>Table1[[#This Row],[PT MARGIN]]/Table1[[#This Row],[G]]</f>
        <v>-2.2820512820512819</v>
      </c>
    </row>
    <row r="74" spans="1:15" hidden="1" x14ac:dyDescent="0.2">
      <c r="A74" s="1">
        <v>213</v>
      </c>
      <c r="B74" s="2" t="s">
        <v>371</v>
      </c>
      <c r="C74" s="2" t="str">
        <f>IF(COUNTIF($X$3:$X$20,B74)&gt;0,$X$2,
 IF(COUNTIF($Y$3:$Y$20,B74)&gt;0,$Y$2,
 IF(COUNTIF($Z$3:$Z$20,B74)&gt;0,$Z$2,
 IF(COUNTIF($AA$3:$AA$20,B74)&gt;0,$AA$2,
 IF(COUNTIF($AB$3:$AB$20,B74)&gt;0,$AB$2,
 IF(COUNTIF($AC$3:$AC$20,B74)&gt;0,$AC$2,
 IF(COUNTIF($AD$3:$AD$20,B74)&gt;0,$AD$2,
 "Not Found")))))))</f>
        <v>Not Found</v>
      </c>
      <c r="D74" s="2" t="s">
        <v>10</v>
      </c>
      <c r="E74" s="2" t="s">
        <v>11</v>
      </c>
      <c r="F74" s="2">
        <v>137</v>
      </c>
      <c r="G74" s="4">
        <v>0.27700000000000002</v>
      </c>
      <c r="H74" s="2">
        <v>-711</v>
      </c>
      <c r="I74" s="2">
        <v>100.2</v>
      </c>
      <c r="J74" s="2">
        <v>107.7</v>
      </c>
      <c r="K74" s="4">
        <v>0.52300000000000002</v>
      </c>
      <c r="L74" s="4">
        <v>0.55500000000000005</v>
      </c>
      <c r="M74" s="2">
        <v>160</v>
      </c>
      <c r="N74" s="4">
        <v>0.69799999999999995</v>
      </c>
      <c r="O74" s="8">
        <f>Table1[[#This Row],[PT MARGIN]]/Table1[[#This Row],[G]]</f>
        <v>-5.1897810218978107</v>
      </c>
    </row>
    <row r="75" spans="1:15" x14ac:dyDescent="0.2">
      <c r="A75" s="1">
        <v>4</v>
      </c>
      <c r="B75" s="2" t="s">
        <v>14</v>
      </c>
      <c r="C75" s="2" t="str">
        <f>IF(COUNTIF($X$3:$X$20,B75)&gt;0,$X$2,
 IF(COUNTIF($Y$3:$Y$20,B75)&gt;0,$Y$2,
 IF(COUNTIF($Z$3:$Z$20,B75)&gt;0,$Z$2,
 IF(COUNTIF($AA$3:$AA$20,B75)&gt;0,$AA$2,
 IF(COUNTIF($AB$3:$AB$20,B75)&gt;0,$AB$2,
 IF(COUNTIF($AC$3:$AC$20,B75)&gt;0,$AC$2,
 IF(COUNTIF($AD$3:$AD$20,B75)&gt;0,$AD$2,
 "Not Found")))))))</f>
        <v>ACC</v>
      </c>
      <c r="D75" s="2" t="s">
        <v>10</v>
      </c>
      <c r="E75" s="2" t="s">
        <v>11</v>
      </c>
      <c r="F75" s="2">
        <v>102</v>
      </c>
      <c r="G75" s="4">
        <v>0.60799999999999998</v>
      </c>
      <c r="H75" s="2">
        <v>635</v>
      </c>
      <c r="I75" s="2">
        <v>109.8</v>
      </c>
      <c r="J75" s="2">
        <v>100.9</v>
      </c>
      <c r="K75" s="4">
        <v>0.56499999999999995</v>
      </c>
      <c r="L75" s="4">
        <v>0.51900000000000002</v>
      </c>
      <c r="M75" s="2">
        <v>139</v>
      </c>
      <c r="N75" s="4">
        <v>0.70599999999999996</v>
      </c>
      <c r="O75" s="8">
        <f>Table1[[#This Row],[PT MARGIN]]/Table1[[#This Row],[G]]</f>
        <v>6.2254901960784315</v>
      </c>
    </row>
    <row r="76" spans="1:15" hidden="1" x14ac:dyDescent="0.2">
      <c r="A76" s="1">
        <v>135</v>
      </c>
      <c r="B76" s="2" t="s">
        <v>151</v>
      </c>
      <c r="C76" s="2" t="str">
        <f>IF(COUNTIF($X$3:$X$20,B76)&gt;0,$X$2,
 IF(COUNTIF($Y$3:$Y$20,B76)&gt;0,$Y$2,
 IF(COUNTIF($Z$3:$Z$20,B76)&gt;0,$Z$2,
 IF(COUNTIF($AA$3:$AA$20,B76)&gt;0,$AA$2,
 IF(COUNTIF($AB$3:$AB$20,B76)&gt;0,$AB$2,
 IF(COUNTIF($AC$3:$AC$20,B76)&gt;0,$AC$2,
 IF(COUNTIF($AD$3:$AD$20,B76)&gt;0,$AD$2,
 "Not Found")))))))</f>
        <v>Not Found</v>
      </c>
      <c r="D76" s="2" t="s">
        <v>10</v>
      </c>
      <c r="E76" s="2" t="s">
        <v>11</v>
      </c>
      <c r="F76" s="2">
        <v>99</v>
      </c>
      <c r="G76" s="4">
        <v>0.30299999999999999</v>
      </c>
      <c r="H76" s="2">
        <v>-444</v>
      </c>
      <c r="I76" s="2">
        <v>99.5</v>
      </c>
      <c r="J76" s="2">
        <v>105.9</v>
      </c>
      <c r="K76" s="4">
        <v>0.51800000000000002</v>
      </c>
      <c r="L76" s="4">
        <v>0.55100000000000005</v>
      </c>
      <c r="M76" s="2">
        <v>240</v>
      </c>
      <c r="N76" s="4">
        <v>0.71099999999999997</v>
      </c>
      <c r="O76" s="8">
        <f>Table1[[#This Row],[PT MARGIN]]/Table1[[#This Row],[G]]</f>
        <v>-4.4848484848484844</v>
      </c>
    </row>
    <row r="77" spans="1:15" hidden="1" x14ac:dyDescent="0.2">
      <c r="A77" s="1">
        <v>290</v>
      </c>
      <c r="B77" s="2" t="s">
        <v>294</v>
      </c>
      <c r="C77" s="2" t="str">
        <f>IF(COUNTIF($X$3:$X$20,B77)&gt;0,$X$2,
 IF(COUNTIF($Y$3:$Y$20,B77)&gt;0,$Y$2,
 IF(COUNTIF($Z$3:$Z$20,B77)&gt;0,$Z$2,
 IF(COUNTIF($AA$3:$AA$20,B77)&gt;0,$AA$2,
 IF(COUNTIF($AB$3:$AB$20,B77)&gt;0,$AB$2,
 IF(COUNTIF($AC$3:$AC$20,B77)&gt;0,$AC$2,
 IF(COUNTIF($AD$3:$AD$20,B77)&gt;0,$AD$2,
 "Not Found")))))))</f>
        <v>Not Found</v>
      </c>
      <c r="D77" s="2" t="s">
        <v>10</v>
      </c>
      <c r="E77" s="2" t="s">
        <v>11</v>
      </c>
      <c r="F77" s="2">
        <v>104</v>
      </c>
      <c r="G77" s="4">
        <v>0.192</v>
      </c>
      <c r="H77" s="2">
        <v>-1101</v>
      </c>
      <c r="I77" s="2">
        <v>93.5</v>
      </c>
      <c r="J77" s="2">
        <v>108.9</v>
      </c>
      <c r="K77" s="4">
        <v>0.49199999999999999</v>
      </c>
      <c r="L77" s="4">
        <v>0.55900000000000005</v>
      </c>
      <c r="M77" s="2">
        <v>241</v>
      </c>
      <c r="N77" s="4">
        <v>0.71299999999999997</v>
      </c>
      <c r="O77" s="8">
        <f>Table1[[#This Row],[PT MARGIN]]/Table1[[#This Row],[G]]</f>
        <v>-10.586538461538462</v>
      </c>
    </row>
    <row r="78" spans="1:15" hidden="1" x14ac:dyDescent="0.2">
      <c r="A78" s="1">
        <v>49</v>
      </c>
      <c r="B78" s="2" t="s">
        <v>59</v>
      </c>
      <c r="C78" s="2" t="str">
        <f>IF(COUNTIF($X$3:$X$20,B78)&gt;0,$X$2,
 IF(COUNTIF($Y$3:$Y$20,B78)&gt;0,$Y$2,
 IF(COUNTIF($Z$3:$Z$20,B78)&gt;0,$Z$2,
 IF(COUNTIF($AA$3:$AA$20,B78)&gt;0,$AA$2,
 IF(COUNTIF($AB$3:$AB$20,B78)&gt;0,$AB$2,
 IF(COUNTIF($AC$3:$AC$20,B78)&gt;0,$AC$2,
 IF(COUNTIF($AD$3:$AD$20,B78)&gt;0,$AD$2,
 "Not Found")))))))</f>
        <v>Not Found</v>
      </c>
      <c r="D78" s="2" t="s">
        <v>10</v>
      </c>
      <c r="E78" s="2" t="s">
        <v>11</v>
      </c>
      <c r="F78" s="2">
        <v>138</v>
      </c>
      <c r="G78" s="4">
        <v>0.49299999999999999</v>
      </c>
      <c r="H78" s="2">
        <v>-21</v>
      </c>
      <c r="I78" s="2">
        <v>101.9</v>
      </c>
      <c r="J78" s="2">
        <v>102.1</v>
      </c>
      <c r="K78" s="4">
        <v>0.52900000000000003</v>
      </c>
      <c r="L78" s="4">
        <v>0.54</v>
      </c>
      <c r="M78" s="2">
        <v>247</v>
      </c>
      <c r="N78" s="4">
        <v>0.71799999999999997</v>
      </c>
      <c r="O78" s="8">
        <f>Table1[[#This Row],[PT MARGIN]]/Table1[[#This Row],[G]]</f>
        <v>-0.15217391304347827</v>
      </c>
    </row>
    <row r="79" spans="1:15" hidden="1" x14ac:dyDescent="0.2">
      <c r="A79" s="1">
        <v>316</v>
      </c>
      <c r="B79" s="2" t="s">
        <v>268</v>
      </c>
      <c r="C79" s="2" t="str">
        <f>IF(COUNTIF($X$3:$X$20,B79)&gt;0,$X$2,
 IF(COUNTIF($Y$3:$Y$20,B79)&gt;0,$Y$2,
 IF(COUNTIF($Z$3:$Z$20,B79)&gt;0,$Z$2,
 IF(COUNTIF($AA$3:$AA$20,B79)&gt;0,$AA$2,
 IF(COUNTIF($AB$3:$AB$20,B79)&gt;0,$AB$2,
 IF(COUNTIF($AC$3:$AC$20,B79)&gt;0,$AC$2,
 IF(COUNTIF($AD$3:$AD$20,B79)&gt;0,$AD$2,
 "Not Found")))))))</f>
        <v>Not Found</v>
      </c>
      <c r="D79" s="2" t="s">
        <v>10</v>
      </c>
      <c r="E79" s="2" t="s">
        <v>11</v>
      </c>
      <c r="F79" s="2">
        <v>153</v>
      </c>
      <c r="G79" s="4">
        <v>0.26100000000000001</v>
      </c>
      <c r="H79" s="2">
        <v>-1278</v>
      </c>
      <c r="I79" s="2">
        <v>92.9</v>
      </c>
      <c r="J79" s="2">
        <v>104.9</v>
      </c>
      <c r="K79" s="4">
        <v>0.49099999999999999</v>
      </c>
      <c r="L79" s="4">
        <v>0.55100000000000005</v>
      </c>
      <c r="M79" s="2">
        <v>314</v>
      </c>
      <c r="N79" s="4">
        <v>0.71199999999999997</v>
      </c>
      <c r="O79" s="8">
        <f>Table1[[#This Row],[PT MARGIN]]/Table1[[#This Row],[G]]</f>
        <v>-8.3529411764705888</v>
      </c>
    </row>
    <row r="80" spans="1:15" hidden="1" x14ac:dyDescent="0.2">
      <c r="A80" s="1">
        <v>254</v>
      </c>
      <c r="B80" s="2" t="s">
        <v>330</v>
      </c>
      <c r="C80" s="2" t="str">
        <f>IF(COUNTIF($X$3:$X$20,B80)&gt;0,$X$2,
 IF(COUNTIF($Y$3:$Y$20,B80)&gt;0,$Y$2,
 IF(COUNTIF($Z$3:$Z$20,B80)&gt;0,$Z$2,
 IF(COUNTIF($AA$3:$AA$20,B80)&gt;0,$AA$2,
 IF(COUNTIF($AB$3:$AB$20,B80)&gt;0,$AB$2,
 IF(COUNTIF($AC$3:$AC$20,B80)&gt;0,$AC$2,
 IF(COUNTIF($AD$3:$AD$20,B80)&gt;0,$AD$2,
 "Not Found")))))))</f>
        <v>Not Found</v>
      </c>
      <c r="D80" s="2" t="s">
        <v>10</v>
      </c>
      <c r="E80" s="2" t="s">
        <v>11</v>
      </c>
      <c r="F80" s="2">
        <v>145</v>
      </c>
      <c r="G80" s="4">
        <v>0.32400000000000001</v>
      </c>
      <c r="H80" s="2">
        <v>-901</v>
      </c>
      <c r="I80" s="2">
        <v>99.7</v>
      </c>
      <c r="J80" s="2">
        <v>108</v>
      </c>
      <c r="K80" s="4">
        <v>0.52200000000000002</v>
      </c>
      <c r="L80" s="4">
        <v>0.56899999999999995</v>
      </c>
      <c r="M80" s="2">
        <v>322</v>
      </c>
      <c r="N80" s="4">
        <v>0.72199999999999998</v>
      </c>
      <c r="O80" s="8">
        <f>Table1[[#This Row],[PT MARGIN]]/Table1[[#This Row],[G]]</f>
        <v>-6.2137931034482756</v>
      </c>
    </row>
    <row r="81" spans="1:19" hidden="1" x14ac:dyDescent="0.2">
      <c r="A81" s="1">
        <v>310</v>
      </c>
      <c r="B81" s="2" t="s">
        <v>274</v>
      </c>
      <c r="C81" s="2" t="str">
        <f>IF(COUNTIF($X$3:$X$20,B81)&gt;0,$X$2,
 IF(COUNTIF($Y$3:$Y$20,B81)&gt;0,$Y$2,
 IF(COUNTIF($Z$3:$Z$20,B81)&gt;0,$Z$2,
 IF(COUNTIF($AA$3:$AA$20,B81)&gt;0,$AA$2,
 IF(COUNTIF($AB$3:$AB$20,B81)&gt;0,$AB$2,
 IF(COUNTIF($AC$3:$AC$20,B81)&gt;0,$AC$2,
 IF(COUNTIF($AD$3:$AD$20,B81)&gt;0,$AD$2,
 "Not Found")))))))</f>
        <v>Not Found</v>
      </c>
      <c r="D81" s="2" t="s">
        <v>10</v>
      </c>
      <c r="E81" s="2" t="s">
        <v>11</v>
      </c>
      <c r="F81" s="2">
        <v>144</v>
      </c>
      <c r="G81" s="4">
        <v>0.26400000000000001</v>
      </c>
      <c r="H81" s="2">
        <v>-1253</v>
      </c>
      <c r="I81" s="2">
        <v>97.1</v>
      </c>
      <c r="J81" s="2">
        <v>109.5</v>
      </c>
      <c r="K81" s="4">
        <v>0.51300000000000001</v>
      </c>
      <c r="L81" s="4">
        <v>0.56599999999999995</v>
      </c>
      <c r="M81" s="2">
        <v>315</v>
      </c>
      <c r="N81" s="4">
        <v>0.72199999999999998</v>
      </c>
      <c r="O81" s="8">
        <f>Table1[[#This Row],[PT MARGIN]]/Table1[[#This Row],[G]]</f>
        <v>-8.7013888888888893</v>
      </c>
    </row>
    <row r="82" spans="1:19" hidden="1" x14ac:dyDescent="0.2">
      <c r="A82" s="1">
        <v>151</v>
      </c>
      <c r="B82" s="2" t="s">
        <v>167</v>
      </c>
      <c r="C82" s="2" t="str">
        <f>IF(COUNTIF($X$3:$X$20,B82)&gt;0,$X$2,
 IF(COUNTIF($Y$3:$Y$20,B82)&gt;0,$Y$2,
 IF(COUNTIF($Z$3:$Z$20,B82)&gt;0,$Z$2,
 IF(COUNTIF($AA$3:$AA$20,B82)&gt;0,$AA$2,
 IF(COUNTIF($AB$3:$AB$20,B82)&gt;0,$AB$2,
 IF(COUNTIF($AC$3:$AC$20,B82)&gt;0,$AC$2,
 IF(COUNTIF($AD$3:$AD$20,B82)&gt;0,$AD$2,
 "Not Found")))))))</f>
        <v>Not Found</v>
      </c>
      <c r="D82" s="2" t="s">
        <v>10</v>
      </c>
      <c r="E82" s="2" t="s">
        <v>11</v>
      </c>
      <c r="F82" s="2">
        <v>160</v>
      </c>
      <c r="G82" s="4">
        <v>0.41299999999999998</v>
      </c>
      <c r="H82" s="2">
        <v>-496</v>
      </c>
      <c r="I82" s="2">
        <v>102.3</v>
      </c>
      <c r="J82" s="2">
        <v>106.6</v>
      </c>
      <c r="K82" s="4">
        <v>0.55200000000000005</v>
      </c>
      <c r="L82" s="4">
        <v>0.55600000000000005</v>
      </c>
      <c r="M82" s="2">
        <v>217</v>
      </c>
      <c r="N82" s="4">
        <v>0.72499999999999998</v>
      </c>
      <c r="O82" s="8">
        <f>Table1[[#This Row],[PT MARGIN]]/Table1[[#This Row],[G]]</f>
        <v>-3.1</v>
      </c>
    </row>
    <row r="83" spans="1:19" hidden="1" x14ac:dyDescent="0.2">
      <c r="A83" s="1">
        <v>258</v>
      </c>
      <c r="B83" s="2" t="s">
        <v>326</v>
      </c>
      <c r="C83" s="2" t="str">
        <f>IF(COUNTIF($X$3:$X$20,B83)&gt;0,$X$2,
 IF(COUNTIF($Y$3:$Y$20,B83)&gt;0,$Y$2,
 IF(COUNTIF($Z$3:$Z$20,B83)&gt;0,$Z$2,
 IF(COUNTIF($AA$3:$AA$20,B83)&gt;0,$AA$2,
 IF(COUNTIF($AB$3:$AB$20,B83)&gt;0,$AB$2,
 IF(COUNTIF($AC$3:$AC$20,B83)&gt;0,$AC$2,
 IF(COUNTIF($AD$3:$AD$20,B83)&gt;0,$AD$2,
 "Not Found")))))))</f>
        <v>Not Found</v>
      </c>
      <c r="D83" s="2" t="s">
        <v>10</v>
      </c>
      <c r="E83" s="2" t="s">
        <v>11</v>
      </c>
      <c r="F83" s="2">
        <v>141</v>
      </c>
      <c r="G83" s="4">
        <v>0.31900000000000001</v>
      </c>
      <c r="H83" s="2">
        <v>-932</v>
      </c>
      <c r="I83" s="2">
        <v>97.5</v>
      </c>
      <c r="J83" s="2">
        <v>107.1</v>
      </c>
      <c r="K83" s="4">
        <v>0.52200000000000002</v>
      </c>
      <c r="L83" s="4">
        <v>0.54400000000000004</v>
      </c>
      <c r="M83" s="2">
        <v>176</v>
      </c>
      <c r="N83" s="4">
        <v>0.70299999999999996</v>
      </c>
      <c r="O83" s="8">
        <f>Table1[[#This Row],[PT MARGIN]]/Table1[[#This Row],[G]]</f>
        <v>-6.6099290780141846</v>
      </c>
    </row>
    <row r="84" spans="1:19" hidden="1" x14ac:dyDescent="0.2">
      <c r="A84" s="1">
        <v>331</v>
      </c>
      <c r="B84" s="2" t="s">
        <v>253</v>
      </c>
      <c r="C84" s="2" t="str">
        <f>IF(COUNTIF($X$3:$X$20,B84)&gt;0,$X$2,
 IF(COUNTIF($Y$3:$Y$20,B84)&gt;0,$Y$2,
 IF(COUNTIF($Z$3:$Z$20,B84)&gt;0,$Z$2,
 IF(COUNTIF($AA$3:$AA$20,B84)&gt;0,$AA$2,
 IF(COUNTIF($AB$3:$AB$20,B84)&gt;0,$AB$2,
 IF(COUNTIF($AC$3:$AC$20,B84)&gt;0,$AC$2,
 IF(COUNTIF($AD$3:$AD$20,B84)&gt;0,$AD$2,
 "Not Found")))))))</f>
        <v>Not Found</v>
      </c>
      <c r="D84" s="2" t="s">
        <v>10</v>
      </c>
      <c r="E84" s="2" t="s">
        <v>11</v>
      </c>
      <c r="F84" s="2">
        <v>132</v>
      </c>
      <c r="G84" s="4">
        <v>0.22</v>
      </c>
      <c r="H84" s="2">
        <v>-1470</v>
      </c>
      <c r="I84" s="2">
        <v>92.7</v>
      </c>
      <c r="J84" s="2">
        <v>108.9</v>
      </c>
      <c r="K84" s="4">
        <v>0.50800000000000001</v>
      </c>
      <c r="L84" s="4">
        <v>0.56799999999999995</v>
      </c>
      <c r="M84" s="2">
        <v>226</v>
      </c>
      <c r="N84" s="4">
        <v>0.71699999999999997</v>
      </c>
      <c r="O84" s="8">
        <f>Table1[[#This Row],[PT MARGIN]]/Table1[[#This Row],[G]]</f>
        <v>-11.136363636363637</v>
      </c>
    </row>
    <row r="85" spans="1:19" hidden="1" x14ac:dyDescent="0.2">
      <c r="A85" s="1">
        <v>206</v>
      </c>
      <c r="B85" s="2" t="s">
        <v>378</v>
      </c>
      <c r="C85" s="2" t="str">
        <f>IF(COUNTIF($X$3:$X$20,B85)&gt;0,$X$2,
 IF(COUNTIF($Y$3:$Y$20,B85)&gt;0,$Y$2,
 IF(COUNTIF($Z$3:$Z$20,B85)&gt;0,$Z$2,
 IF(COUNTIF($AA$3:$AA$20,B85)&gt;0,$AA$2,
 IF(COUNTIF($AB$3:$AB$20,B85)&gt;0,$AB$2,
 IF(COUNTIF($AC$3:$AC$20,B85)&gt;0,$AC$2,
 IF(COUNTIF($AD$3:$AD$20,B85)&gt;0,$AD$2,
 "Not Found")))))))</f>
        <v>Not Found</v>
      </c>
      <c r="D85" s="2" t="s">
        <v>10</v>
      </c>
      <c r="E85" s="2" t="s">
        <v>11</v>
      </c>
      <c r="F85" s="2">
        <v>145</v>
      </c>
      <c r="G85" s="4">
        <v>0.379</v>
      </c>
      <c r="H85" s="2">
        <v>-689</v>
      </c>
      <c r="I85" s="2">
        <v>96.5</v>
      </c>
      <c r="J85" s="2">
        <v>103.2</v>
      </c>
      <c r="K85" s="4">
        <v>0.51500000000000001</v>
      </c>
      <c r="L85" s="4">
        <v>0.53900000000000003</v>
      </c>
      <c r="M85" s="2">
        <v>117</v>
      </c>
      <c r="N85" s="4">
        <v>0.69599999999999995</v>
      </c>
      <c r="O85" s="8">
        <f>Table1[[#This Row],[PT MARGIN]]/Table1[[#This Row],[G]]</f>
        <v>-4.7517241379310349</v>
      </c>
    </row>
    <row r="86" spans="1:19" hidden="1" x14ac:dyDescent="0.2">
      <c r="A86" s="1">
        <v>298</v>
      </c>
      <c r="B86" s="2" t="s">
        <v>286</v>
      </c>
      <c r="C86" s="2" t="str">
        <f>IF(COUNTIF($X$3:$X$20,B86)&gt;0,$X$2,
 IF(COUNTIF($Y$3:$Y$20,B86)&gt;0,$Y$2,
 IF(COUNTIF($Z$3:$Z$20,B86)&gt;0,$Z$2,
 IF(COUNTIF($AA$3:$AA$20,B86)&gt;0,$AA$2,
 IF(COUNTIF($AB$3:$AB$20,B86)&gt;0,$AB$2,
 IF(COUNTIF($AC$3:$AC$20,B86)&gt;0,$AC$2,
 IF(COUNTIF($AD$3:$AD$20,B86)&gt;0,$AD$2,
 "Not Found")))))))</f>
        <v>Not Found</v>
      </c>
      <c r="D86" s="2" t="s">
        <v>10</v>
      </c>
      <c r="E86" s="2" t="s">
        <v>11</v>
      </c>
      <c r="F86" s="2">
        <v>161</v>
      </c>
      <c r="G86" s="4">
        <v>0.317</v>
      </c>
      <c r="H86" s="2">
        <v>-1150</v>
      </c>
      <c r="I86" s="2">
        <v>96.7</v>
      </c>
      <c r="J86" s="2">
        <v>106.5</v>
      </c>
      <c r="K86" s="4">
        <v>0.51300000000000001</v>
      </c>
      <c r="L86" s="4">
        <v>0.55800000000000005</v>
      </c>
      <c r="M86" s="2">
        <v>236</v>
      </c>
      <c r="N86" s="4">
        <v>0.71</v>
      </c>
      <c r="O86" s="8">
        <f>Table1[[#This Row],[PT MARGIN]]/Table1[[#This Row],[G]]</f>
        <v>-7.1428571428571432</v>
      </c>
    </row>
    <row r="87" spans="1:19" x14ac:dyDescent="0.2">
      <c r="A87" s="1">
        <v>37</v>
      </c>
      <c r="B87" s="2" t="s">
        <v>47</v>
      </c>
      <c r="C87" s="2" t="str">
        <f>IF(COUNTIF($X$3:$X$20,B87)&gt;0,$X$2,
 IF(COUNTIF($Y$3:$Y$20,B87)&gt;0,$Y$2,
 IF(COUNTIF($Z$3:$Z$20,B87)&gt;0,$Z$2,
 IF(COUNTIF($AA$3:$AA$20,B87)&gt;0,$AA$2,
 IF(COUNTIF($AB$3:$AB$20,B87)&gt;0,$AB$2,
 IF(COUNTIF($AC$3:$AC$20,B87)&gt;0,$AC$2,
 IF(COUNTIF($AD$3:$AD$20,B87)&gt;0,$AD$2,
 "Not Found")))))))</f>
        <v>SEC</v>
      </c>
      <c r="D87" s="2" t="s">
        <v>10</v>
      </c>
      <c r="E87" s="2" t="s">
        <v>11</v>
      </c>
      <c r="F87" s="2">
        <v>106</v>
      </c>
      <c r="G87" s="4">
        <v>0.46200000000000002</v>
      </c>
      <c r="H87" s="2">
        <v>30</v>
      </c>
      <c r="I87" s="2">
        <v>102.3</v>
      </c>
      <c r="J87" s="2">
        <v>101.9</v>
      </c>
      <c r="K87" s="4">
        <v>0.52700000000000002</v>
      </c>
      <c r="L87" s="4">
        <v>0.52500000000000002</v>
      </c>
      <c r="M87" s="2">
        <v>119</v>
      </c>
      <c r="N87" s="4">
        <v>0.71699999999999997</v>
      </c>
      <c r="O87" s="8">
        <f>Table1[[#This Row],[PT MARGIN]]/Table1[[#This Row],[G]]</f>
        <v>0.28301886792452829</v>
      </c>
      <c r="S87" s="50"/>
    </row>
    <row r="88" spans="1:19" hidden="1" x14ac:dyDescent="0.2">
      <c r="A88" s="1">
        <v>359</v>
      </c>
      <c r="B88" s="2" t="s">
        <v>225</v>
      </c>
      <c r="C88" s="2" t="str">
        <f>IF(COUNTIF($X$3:$X$20,B88)&gt;0,$X$2,
 IF(COUNTIF($Y$3:$Y$20,B88)&gt;0,$Y$2,
 IF(COUNTIF($Z$3:$Z$20,B88)&gt;0,$Z$2,
 IF(COUNTIF($AA$3:$AA$20,B88)&gt;0,$AA$2,
 IF(COUNTIF($AB$3:$AB$20,B88)&gt;0,$AB$2,
 IF(COUNTIF($AC$3:$AC$20,B88)&gt;0,$AC$2,
 IF(COUNTIF($AD$3:$AD$20,B88)&gt;0,$AD$2,
 "Not Found")))))))</f>
        <v>Not Found</v>
      </c>
      <c r="D88" s="2" t="s">
        <v>10</v>
      </c>
      <c r="E88" s="2" t="s">
        <v>11</v>
      </c>
      <c r="F88" s="2">
        <v>170</v>
      </c>
      <c r="G88" s="4">
        <v>0.2</v>
      </c>
      <c r="H88" s="2">
        <v>-2189</v>
      </c>
      <c r="I88" s="2">
        <v>88.3</v>
      </c>
      <c r="J88" s="2">
        <v>106.5</v>
      </c>
      <c r="K88" s="4">
        <v>0.49</v>
      </c>
      <c r="L88" s="4">
        <v>0.55400000000000005</v>
      </c>
      <c r="M88" s="2">
        <v>343</v>
      </c>
      <c r="N88" s="4">
        <v>0.69599999999999995</v>
      </c>
      <c r="O88" s="8">
        <f>Table1[[#This Row],[PT MARGIN]]/Table1[[#This Row],[G]]</f>
        <v>-12.876470588235295</v>
      </c>
      <c r="S88" s="50"/>
    </row>
    <row r="89" spans="1:19" hidden="1" x14ac:dyDescent="0.2">
      <c r="A89" s="1">
        <v>150</v>
      </c>
      <c r="B89" s="2" t="s">
        <v>166</v>
      </c>
      <c r="C89" s="2" t="str">
        <f>IF(COUNTIF($X$3:$X$20,B89)&gt;0,$X$2,
 IF(COUNTIF($Y$3:$Y$20,B89)&gt;0,$Y$2,
 IF(COUNTIF($Z$3:$Z$20,B89)&gt;0,$Z$2,
 IF(COUNTIF($AA$3:$AA$20,B89)&gt;0,$AA$2,
 IF(COUNTIF($AB$3:$AB$20,B89)&gt;0,$AB$2,
 IF(COUNTIF($AC$3:$AC$20,B89)&gt;0,$AC$2,
 IF(COUNTIF($AD$3:$AD$20,B89)&gt;0,$AD$2,
 "Not Found")))))))</f>
        <v>Not Found</v>
      </c>
      <c r="D89" s="2" t="s">
        <v>10</v>
      </c>
      <c r="E89" s="2" t="s">
        <v>11</v>
      </c>
      <c r="F89" s="2">
        <v>131</v>
      </c>
      <c r="G89" s="4">
        <v>0.374</v>
      </c>
      <c r="H89" s="2">
        <v>-492</v>
      </c>
      <c r="I89" s="2">
        <v>98.9</v>
      </c>
      <c r="J89" s="2">
        <v>104.2</v>
      </c>
      <c r="K89" s="4">
        <v>0.51700000000000002</v>
      </c>
      <c r="L89" s="4">
        <v>0.54</v>
      </c>
      <c r="M89" s="2">
        <v>201</v>
      </c>
      <c r="N89" s="4">
        <v>0.72799999999999998</v>
      </c>
      <c r="O89" s="8">
        <f>Table1[[#This Row],[PT MARGIN]]/Table1[[#This Row],[G]]</f>
        <v>-3.7557251908396947</v>
      </c>
      <c r="S89" s="50"/>
    </row>
    <row r="90" spans="1:19" hidden="1" x14ac:dyDescent="0.2">
      <c r="A90" s="1">
        <v>108</v>
      </c>
      <c r="B90" s="2" t="s">
        <v>123</v>
      </c>
      <c r="C90" s="2" t="str">
        <f>IF(COUNTIF($X$3:$X$20,B90)&gt;0,$X$2,
 IF(COUNTIF($Y$3:$Y$20,B90)&gt;0,$Y$2,
 IF(COUNTIF($Z$3:$Z$20,B90)&gt;0,$Z$2,
 IF(COUNTIF($AA$3:$AA$20,B90)&gt;0,$AA$2,
 IF(COUNTIF($AB$3:$AB$20,B90)&gt;0,$AB$2,
 IF(COUNTIF($AC$3:$AC$20,B90)&gt;0,$AC$2,
 IF(COUNTIF($AD$3:$AD$20,B90)&gt;0,$AD$2,
 "Not Found")))))))</f>
        <v>Not Found</v>
      </c>
      <c r="D90" s="2" t="s">
        <v>10</v>
      </c>
      <c r="E90" s="2" t="s">
        <v>11</v>
      </c>
      <c r="F90" s="2">
        <v>129</v>
      </c>
      <c r="G90" s="4">
        <v>0.42599999999999999</v>
      </c>
      <c r="H90" s="2">
        <v>-347</v>
      </c>
      <c r="I90" s="2">
        <v>101.9</v>
      </c>
      <c r="J90" s="2">
        <v>105.7</v>
      </c>
      <c r="K90" s="4">
        <v>0.54600000000000004</v>
      </c>
      <c r="L90" s="4">
        <v>0.54400000000000004</v>
      </c>
      <c r="M90" s="2">
        <v>189</v>
      </c>
      <c r="N90" s="4">
        <v>0.69699999999999995</v>
      </c>
      <c r="O90" s="8">
        <f>Table1[[#This Row],[PT MARGIN]]/Table1[[#This Row],[G]]</f>
        <v>-2.6899224806201549</v>
      </c>
      <c r="S90" s="50"/>
    </row>
    <row r="91" spans="1:19" hidden="1" x14ac:dyDescent="0.2">
      <c r="A91" s="1">
        <v>261</v>
      </c>
      <c r="B91" s="2" t="s">
        <v>323</v>
      </c>
      <c r="C91" s="2" t="str">
        <f>IF(COUNTIF($X$3:$X$20,B91)&gt;0,$X$2,
 IF(COUNTIF($Y$3:$Y$20,B91)&gt;0,$Y$2,
 IF(COUNTIF($Z$3:$Z$20,B91)&gt;0,$Z$2,
 IF(COUNTIF($AA$3:$AA$20,B91)&gt;0,$AA$2,
 IF(COUNTIF($AB$3:$AB$20,B91)&gt;0,$AB$2,
 IF(COUNTIF($AC$3:$AC$20,B91)&gt;0,$AC$2,
 IF(COUNTIF($AD$3:$AD$20,B91)&gt;0,$AD$2,
 "Not Found")))))))</f>
        <v>Not Found</v>
      </c>
      <c r="D91" s="2" t="s">
        <v>10</v>
      </c>
      <c r="E91" s="2" t="s">
        <v>11</v>
      </c>
      <c r="F91" s="2">
        <v>130</v>
      </c>
      <c r="G91" s="4">
        <v>0.215</v>
      </c>
      <c r="H91" s="2">
        <v>-950</v>
      </c>
      <c r="I91" s="2">
        <v>94.8</v>
      </c>
      <c r="J91" s="2">
        <v>104.9</v>
      </c>
      <c r="K91" s="4">
        <v>0.504</v>
      </c>
      <c r="L91" s="4">
        <v>0.55700000000000005</v>
      </c>
      <c r="M91" s="2">
        <v>321</v>
      </c>
      <c r="N91" s="4">
        <v>0.72099999999999997</v>
      </c>
      <c r="O91" s="8">
        <f>Table1[[#This Row],[PT MARGIN]]/Table1[[#This Row],[G]]</f>
        <v>-7.3076923076923075</v>
      </c>
      <c r="S91" s="50"/>
    </row>
    <row r="92" spans="1:19" x14ac:dyDescent="0.2">
      <c r="A92" s="1">
        <v>141</v>
      </c>
      <c r="B92" s="2" t="s">
        <v>157</v>
      </c>
      <c r="C92" s="2" t="str">
        <f>IF(COUNTIF($X$3:$X$20,B92)&gt;0,$X$2,
 IF(COUNTIF($Y$3:$Y$20,B92)&gt;0,$Y$2,
 IF(COUNTIF($Z$3:$Z$20,B92)&gt;0,$Z$2,
 IF(COUNTIF($AA$3:$AA$20,B92)&gt;0,$AA$2,
 IF(COUNTIF($AB$3:$AB$20,B92)&gt;0,$AB$2,
 IF(COUNTIF($AC$3:$AC$20,B92)&gt;0,$AC$2,
 IF(COUNTIF($AD$3:$AD$20,B92)&gt;0,$AD$2,
 "Not Found")))))))</f>
        <v>ACC</v>
      </c>
      <c r="D92" s="2" t="s">
        <v>10</v>
      </c>
      <c r="E92" s="2" t="s">
        <v>11</v>
      </c>
      <c r="F92" s="2">
        <v>105</v>
      </c>
      <c r="G92" s="4">
        <v>0.39</v>
      </c>
      <c r="H92" s="2">
        <v>-453</v>
      </c>
      <c r="I92" s="2">
        <v>100.3</v>
      </c>
      <c r="J92" s="2">
        <v>106.4</v>
      </c>
      <c r="K92" s="4">
        <v>0.51900000000000002</v>
      </c>
      <c r="L92" s="4">
        <v>0.55300000000000005</v>
      </c>
      <c r="M92" s="2">
        <v>250</v>
      </c>
      <c r="N92" s="4">
        <v>0.73599999999999999</v>
      </c>
      <c r="O92" s="8">
        <f>Table1[[#This Row],[PT MARGIN]]/Table1[[#This Row],[G]]</f>
        <v>-4.3142857142857141</v>
      </c>
      <c r="S92" s="50"/>
    </row>
    <row r="93" spans="1:19" hidden="1" x14ac:dyDescent="0.2">
      <c r="A93" s="1">
        <v>241</v>
      </c>
      <c r="B93" s="2" t="s">
        <v>343</v>
      </c>
      <c r="C93" s="2" t="str">
        <f>IF(COUNTIF($X$3:$X$20,B93)&gt;0,$X$2,
 IF(COUNTIF($Y$3:$Y$20,B93)&gt;0,$Y$2,
 IF(COUNTIF($Z$3:$Z$20,B93)&gt;0,$Z$2,
 IF(COUNTIF($AA$3:$AA$20,B93)&gt;0,$AA$2,
 IF(COUNTIF($AB$3:$AB$20,B93)&gt;0,$AB$2,
 IF(COUNTIF($AC$3:$AC$20,B93)&gt;0,$AC$2,
 IF(COUNTIF($AD$3:$AD$20,B93)&gt;0,$AD$2,
 "Not Found")))))))</f>
        <v>Not Found</v>
      </c>
      <c r="D93" s="2" t="s">
        <v>10</v>
      </c>
      <c r="E93" s="2" t="s">
        <v>11</v>
      </c>
      <c r="F93" s="2">
        <v>105</v>
      </c>
      <c r="G93" s="4">
        <v>0.26700000000000002</v>
      </c>
      <c r="H93" s="2">
        <v>-830</v>
      </c>
      <c r="I93" s="2">
        <v>91.3</v>
      </c>
      <c r="J93" s="2">
        <v>102.7</v>
      </c>
      <c r="K93" s="4">
        <v>0.49</v>
      </c>
      <c r="L93" s="4">
        <v>0.54900000000000004</v>
      </c>
      <c r="M93" s="2">
        <v>314</v>
      </c>
      <c r="N93" s="4">
        <v>0.70099999999999996</v>
      </c>
      <c r="O93" s="8">
        <f>Table1[[#This Row],[PT MARGIN]]/Table1[[#This Row],[G]]</f>
        <v>-7.9047619047619051</v>
      </c>
      <c r="S93" s="50"/>
    </row>
    <row r="94" spans="1:19" hidden="1" x14ac:dyDescent="0.2">
      <c r="A94" s="1">
        <v>142</v>
      </c>
      <c r="B94" s="2" t="s">
        <v>158</v>
      </c>
      <c r="C94" s="2" t="str">
        <f>IF(COUNTIF($X$3:$X$20,B94)&gt;0,$X$2,
 IF(COUNTIF($Y$3:$Y$20,B94)&gt;0,$Y$2,
 IF(COUNTIF($Z$3:$Z$20,B94)&gt;0,$Z$2,
 IF(COUNTIF($AA$3:$AA$20,B94)&gt;0,$AA$2,
 IF(COUNTIF($AB$3:$AB$20,B94)&gt;0,$AB$2,
 IF(COUNTIF($AC$3:$AC$20,B94)&gt;0,$AC$2,
 IF(COUNTIF($AD$3:$AD$20,B94)&gt;0,$AD$2,
 "Not Found")))))))</f>
        <v>Not Found</v>
      </c>
      <c r="D94" s="2" t="s">
        <v>10</v>
      </c>
      <c r="E94" s="2" t="s">
        <v>11</v>
      </c>
      <c r="F94" s="2">
        <v>128</v>
      </c>
      <c r="G94" s="4">
        <v>0.375</v>
      </c>
      <c r="H94" s="2">
        <v>-454</v>
      </c>
      <c r="I94" s="2">
        <v>99.2</v>
      </c>
      <c r="J94" s="2">
        <v>104.3</v>
      </c>
      <c r="K94" s="4">
        <v>0.52700000000000002</v>
      </c>
      <c r="L94" s="4">
        <v>0.55900000000000005</v>
      </c>
      <c r="M94" s="2">
        <v>201</v>
      </c>
      <c r="N94" s="4">
        <v>0.73899999999999999</v>
      </c>
      <c r="O94" s="8">
        <f>Table1[[#This Row],[PT MARGIN]]/Table1[[#This Row],[G]]</f>
        <v>-3.546875</v>
      </c>
      <c r="S94" s="50"/>
    </row>
    <row r="95" spans="1:19" hidden="1" x14ac:dyDescent="0.2">
      <c r="A95" s="1">
        <v>8</v>
      </c>
      <c r="B95" s="2" t="s">
        <v>18</v>
      </c>
      <c r="C95" s="2" t="str">
        <f>IF(COUNTIF($X$3:$X$20,B95)&gt;0,$X$2,
 IF(COUNTIF($Y$3:$Y$20,B95)&gt;0,$Y$2,
 IF(COUNTIF($Z$3:$Z$20,B95)&gt;0,$Z$2,
 IF(COUNTIF($AA$3:$AA$20,B95)&gt;0,$AA$2,
 IF(COUNTIF($AB$3:$AB$20,B95)&gt;0,$AB$2,
 IF(COUNTIF($AC$3:$AC$20,B95)&gt;0,$AC$2,
 IF(COUNTIF($AD$3:$AD$20,B95)&gt;0,$AD$2,
 "Not Found")))))))</f>
        <v>Not Found</v>
      </c>
      <c r="D95" s="2" t="s">
        <v>10</v>
      </c>
      <c r="E95" s="2" t="s">
        <v>11</v>
      </c>
      <c r="F95" s="2">
        <v>142</v>
      </c>
      <c r="G95" s="4">
        <v>0.52800000000000002</v>
      </c>
      <c r="H95" s="2">
        <v>374</v>
      </c>
      <c r="I95" s="2">
        <v>106.6</v>
      </c>
      <c r="J95" s="2">
        <v>102.9</v>
      </c>
      <c r="K95" s="4">
        <v>0.56599999999999995</v>
      </c>
      <c r="L95" s="4">
        <v>0.54800000000000004</v>
      </c>
      <c r="M95" s="2">
        <v>182</v>
      </c>
      <c r="N95" s="4">
        <v>0.71799999999999997</v>
      </c>
      <c r="O95" s="8">
        <f>Table1[[#This Row],[PT MARGIN]]/Table1[[#This Row],[G]]</f>
        <v>2.6338028169014085</v>
      </c>
      <c r="S95" s="50"/>
    </row>
    <row r="96" spans="1:19" hidden="1" x14ac:dyDescent="0.2">
      <c r="A96" s="1">
        <v>197</v>
      </c>
      <c r="B96" s="2" t="s">
        <v>213</v>
      </c>
      <c r="C96" s="2" t="str">
        <f>IF(COUNTIF($X$3:$X$20,B96)&gt;0,$X$2,
 IF(COUNTIF($Y$3:$Y$20,B96)&gt;0,$Y$2,
 IF(COUNTIF($Z$3:$Z$20,B96)&gt;0,$Z$2,
 IF(COUNTIF($AA$3:$AA$20,B96)&gt;0,$AA$2,
 IF(COUNTIF($AB$3:$AB$20,B96)&gt;0,$AB$2,
 IF(COUNTIF($AC$3:$AC$20,B96)&gt;0,$AC$2,
 IF(COUNTIF($AD$3:$AD$20,B96)&gt;0,$AD$2,
 "Not Found")))))))</f>
        <v>Not Found</v>
      </c>
      <c r="D96" s="2" t="s">
        <v>10</v>
      </c>
      <c r="E96" s="2" t="s">
        <v>11</v>
      </c>
      <c r="F96" s="2">
        <v>153</v>
      </c>
      <c r="G96" s="4">
        <v>0.34599999999999997</v>
      </c>
      <c r="H96" s="2">
        <v>-640</v>
      </c>
      <c r="I96" s="2">
        <v>97.6</v>
      </c>
      <c r="J96" s="2">
        <v>103.4</v>
      </c>
      <c r="K96" s="4">
        <v>0.52800000000000002</v>
      </c>
      <c r="L96" s="4">
        <v>0.54200000000000004</v>
      </c>
      <c r="M96" s="2">
        <v>271</v>
      </c>
      <c r="N96" s="4">
        <v>0.72699999999999998</v>
      </c>
      <c r="O96" s="8">
        <f>Table1[[#This Row],[PT MARGIN]]/Table1[[#This Row],[G]]</f>
        <v>-4.1830065359477127</v>
      </c>
      <c r="S96" s="50"/>
    </row>
    <row r="97" spans="1:19" hidden="1" x14ac:dyDescent="0.2">
      <c r="A97" s="1">
        <v>128</v>
      </c>
      <c r="B97" s="2" t="s">
        <v>144</v>
      </c>
      <c r="C97" s="2" t="str">
        <f>IF(COUNTIF($X$3:$X$20,B97)&gt;0,$X$2,
 IF(COUNTIF($Y$3:$Y$20,B97)&gt;0,$Y$2,
 IF(COUNTIF($Z$3:$Z$20,B97)&gt;0,$Z$2,
 IF(COUNTIF($AA$3:$AA$20,B97)&gt;0,$AA$2,
 IF(COUNTIF($AB$3:$AB$20,B97)&gt;0,$AB$2,
 IF(COUNTIF($AC$3:$AC$20,B97)&gt;0,$AC$2,
 IF(COUNTIF($AD$3:$AD$20,B97)&gt;0,$AD$2,
 "Not Found")))))))</f>
        <v>Not Found</v>
      </c>
      <c r="D97" s="2" t="s">
        <v>10</v>
      </c>
      <c r="E97" s="2" t="s">
        <v>11</v>
      </c>
      <c r="F97" s="2">
        <v>115</v>
      </c>
      <c r="G97" s="4">
        <v>0.4</v>
      </c>
      <c r="H97" s="2">
        <v>-410</v>
      </c>
      <c r="I97" s="2">
        <v>98</v>
      </c>
      <c r="J97" s="2">
        <v>103.2</v>
      </c>
      <c r="K97" s="4">
        <v>0.52700000000000002</v>
      </c>
      <c r="L97" s="4">
        <v>0.53100000000000003</v>
      </c>
      <c r="M97" s="2">
        <v>146</v>
      </c>
      <c r="N97" s="4">
        <v>0.69799999999999995</v>
      </c>
      <c r="O97" s="8">
        <f>Table1[[#This Row],[PT MARGIN]]/Table1[[#This Row],[G]]</f>
        <v>-3.5652173913043477</v>
      </c>
      <c r="S97" s="50"/>
    </row>
    <row r="98" spans="1:19" hidden="1" x14ac:dyDescent="0.2">
      <c r="A98" s="1">
        <v>225</v>
      </c>
      <c r="B98" s="2" t="s">
        <v>359</v>
      </c>
      <c r="C98" s="2" t="str">
        <f>IF(COUNTIF($X$3:$X$20,B98)&gt;0,$X$2,
 IF(COUNTIF($Y$3:$Y$20,B98)&gt;0,$Y$2,
 IF(COUNTIF($Z$3:$Z$20,B98)&gt;0,$Z$2,
 IF(COUNTIF($AA$3:$AA$20,B98)&gt;0,$AA$2,
 IF(COUNTIF($AB$3:$AB$20,B98)&gt;0,$AB$2,
 IF(COUNTIF($AC$3:$AC$20,B98)&gt;0,$AC$2,
 IF(COUNTIF($AD$3:$AD$20,B98)&gt;0,$AD$2,
 "Not Found")))))))</f>
        <v>Not Found</v>
      </c>
      <c r="D98" s="2" t="s">
        <v>10</v>
      </c>
      <c r="E98" s="2" t="s">
        <v>11</v>
      </c>
      <c r="F98" s="2">
        <v>110</v>
      </c>
      <c r="G98" s="4">
        <v>0.3</v>
      </c>
      <c r="H98" s="2">
        <v>-763</v>
      </c>
      <c r="I98" s="2">
        <v>96.8</v>
      </c>
      <c r="J98" s="2">
        <v>106.9</v>
      </c>
      <c r="K98" s="4">
        <v>0.51800000000000002</v>
      </c>
      <c r="L98" s="4">
        <v>0.54700000000000004</v>
      </c>
      <c r="M98" s="2">
        <v>45</v>
      </c>
      <c r="N98" s="4">
        <v>0.71599999999999997</v>
      </c>
      <c r="O98" s="8">
        <f>Table1[[#This Row],[PT MARGIN]]/Table1[[#This Row],[G]]</f>
        <v>-6.9363636363636365</v>
      </c>
      <c r="S98" s="50"/>
    </row>
    <row r="99" spans="1:19" x14ac:dyDescent="0.2">
      <c r="A99" s="1">
        <v>223</v>
      </c>
      <c r="B99" s="2" t="s">
        <v>361</v>
      </c>
      <c r="C99" s="2" t="str">
        <f>IF(COUNTIF($X$3:$X$20,B99)&gt;0,$X$2,
 IF(COUNTIF($Y$3:$Y$20,B99)&gt;0,$Y$2,
 IF(COUNTIF($Z$3:$Z$20,B99)&gt;0,$Z$2,
 IF(COUNTIF($AA$3:$AA$20,B99)&gt;0,$AA$2,
 IF(COUNTIF($AB$3:$AB$20,B99)&gt;0,$AB$2,
 IF(COUNTIF($AC$3:$AC$20,B99)&gt;0,$AC$2,
 IF(COUNTIF($AD$3:$AD$20,B99)&gt;0,$AD$2,
 "Not Found")))))))</f>
        <v>Big East</v>
      </c>
      <c r="D99" s="2" t="s">
        <v>10</v>
      </c>
      <c r="E99" s="2" t="s">
        <v>11</v>
      </c>
      <c r="F99" s="2">
        <v>109</v>
      </c>
      <c r="G99" s="4">
        <v>0.25700000000000001</v>
      </c>
      <c r="H99" s="2">
        <v>-744</v>
      </c>
      <c r="I99" s="2">
        <v>100.7</v>
      </c>
      <c r="J99" s="2">
        <v>110.2</v>
      </c>
      <c r="K99" s="4">
        <v>0.53200000000000003</v>
      </c>
      <c r="L99" s="4">
        <v>0.56799999999999995</v>
      </c>
      <c r="M99" s="2">
        <v>251</v>
      </c>
      <c r="N99" s="4">
        <v>0.749</v>
      </c>
      <c r="O99" s="8">
        <f>Table1[[#This Row],[PT MARGIN]]/Table1[[#This Row],[G]]</f>
        <v>-6.8256880733944953</v>
      </c>
      <c r="S99" s="50"/>
    </row>
    <row r="100" spans="1:19" x14ac:dyDescent="0.2">
      <c r="A100" s="1">
        <v>256</v>
      </c>
      <c r="B100" s="2" t="s">
        <v>328</v>
      </c>
      <c r="C100" s="2" t="str">
        <f>IF(COUNTIF($X$3:$X$20,B100)&gt;0,$X$2,
 IF(COUNTIF($Y$3:$Y$20,B100)&gt;0,$Y$2,
 IF(COUNTIF($Z$3:$Z$20,B100)&gt;0,$Z$2,
 IF(COUNTIF($AA$3:$AA$20,B100)&gt;0,$AA$2,
 IF(COUNTIF($AB$3:$AB$20,B100)&gt;0,$AB$2,
 IF(COUNTIF($AC$3:$AC$20,B100)&gt;0,$AC$2,
 IF(COUNTIF($AD$3:$AD$20,B100)&gt;0,$AD$2,
 "Not Found")))))))</f>
        <v>SEC</v>
      </c>
      <c r="D100" s="2" t="s">
        <v>10</v>
      </c>
      <c r="E100" s="2" t="s">
        <v>11</v>
      </c>
      <c r="F100" s="2">
        <v>108</v>
      </c>
      <c r="G100" s="4">
        <v>0.25</v>
      </c>
      <c r="H100" s="2">
        <v>-902</v>
      </c>
      <c r="I100" s="2">
        <v>96.7</v>
      </c>
      <c r="J100" s="2">
        <v>108.5</v>
      </c>
      <c r="K100" s="4">
        <v>0.51800000000000002</v>
      </c>
      <c r="L100" s="4">
        <v>0.55300000000000005</v>
      </c>
      <c r="M100" s="2">
        <v>70</v>
      </c>
      <c r="N100" s="4">
        <v>0.72099999999999997</v>
      </c>
      <c r="O100" s="8">
        <f>Table1[[#This Row],[PT MARGIN]]/Table1[[#This Row],[G]]</f>
        <v>-8.3518518518518512</v>
      </c>
      <c r="S100" s="50"/>
    </row>
    <row r="101" spans="1:19" hidden="1" x14ac:dyDescent="0.2">
      <c r="A101" s="1">
        <v>220</v>
      </c>
      <c r="B101" s="2" t="s">
        <v>364</v>
      </c>
      <c r="C101" s="2" t="str">
        <f>IF(COUNTIF($X$3:$X$20,B101)&gt;0,$X$2,
 IF(COUNTIF($Y$3:$Y$20,B101)&gt;0,$Y$2,
 IF(COUNTIF($Z$3:$Z$20,B101)&gt;0,$Z$2,
 IF(COUNTIF($AA$3:$AA$20,B101)&gt;0,$AA$2,
 IF(COUNTIF($AB$3:$AB$20,B101)&gt;0,$AB$2,
 IF(COUNTIF($AC$3:$AC$20,B101)&gt;0,$AC$2,
 IF(COUNTIF($AD$3:$AD$20,B101)&gt;0,$AD$2,
 "Not Found")))))))</f>
        <v>Not Found</v>
      </c>
      <c r="D101" s="2" t="s">
        <v>10</v>
      </c>
      <c r="E101" s="2" t="s">
        <v>11</v>
      </c>
      <c r="F101" s="2">
        <v>148</v>
      </c>
      <c r="G101" s="4">
        <v>0.33100000000000002</v>
      </c>
      <c r="H101" s="2">
        <v>-731</v>
      </c>
      <c r="I101" s="2">
        <v>98.5</v>
      </c>
      <c r="J101" s="2">
        <v>105.4</v>
      </c>
      <c r="K101" s="4">
        <v>0.52</v>
      </c>
      <c r="L101" s="4">
        <v>0.55200000000000005</v>
      </c>
      <c r="M101" s="2">
        <v>427</v>
      </c>
      <c r="N101" s="4">
        <v>0.70099999999999996</v>
      </c>
      <c r="O101" s="8">
        <f>Table1[[#This Row],[PT MARGIN]]/Table1[[#This Row],[G]]</f>
        <v>-4.9391891891891895</v>
      </c>
      <c r="S101" s="50"/>
    </row>
    <row r="102" spans="1:19" hidden="1" x14ac:dyDescent="0.2">
      <c r="A102" s="1">
        <v>148</v>
      </c>
      <c r="B102" s="2" t="s">
        <v>164</v>
      </c>
      <c r="C102" s="2" t="str">
        <f>IF(COUNTIF($X$3:$X$20,B102)&gt;0,$X$2,
 IF(COUNTIF($Y$3:$Y$20,B102)&gt;0,$Y$2,
 IF(COUNTIF($Z$3:$Z$20,B102)&gt;0,$Z$2,
 IF(COUNTIF($AA$3:$AA$20,B102)&gt;0,$AA$2,
 IF(COUNTIF($AB$3:$AB$20,B102)&gt;0,$AB$2,
 IF(COUNTIF($AC$3:$AC$20,B102)&gt;0,$AC$2,
 IF(COUNTIF($AD$3:$AD$20,B102)&gt;0,$AD$2,
 "Not Found")))))))</f>
        <v>Not Found</v>
      </c>
      <c r="D102" s="2" t="s">
        <v>10</v>
      </c>
      <c r="E102" s="2" t="s">
        <v>11</v>
      </c>
      <c r="F102" s="2">
        <v>134</v>
      </c>
      <c r="G102" s="4">
        <v>0.38100000000000001</v>
      </c>
      <c r="H102" s="2">
        <v>-489</v>
      </c>
      <c r="I102" s="2">
        <v>98.5</v>
      </c>
      <c r="J102" s="2">
        <v>103.6</v>
      </c>
      <c r="K102" s="4">
        <v>0.51900000000000002</v>
      </c>
      <c r="L102" s="4">
        <v>0.54200000000000004</v>
      </c>
      <c r="M102" s="2">
        <v>342</v>
      </c>
      <c r="N102" s="4">
        <v>0.70799999999999996</v>
      </c>
      <c r="O102" s="8">
        <f>Table1[[#This Row],[PT MARGIN]]/Table1[[#This Row],[G]]</f>
        <v>-3.6492537313432836</v>
      </c>
      <c r="S102" s="50"/>
    </row>
    <row r="103" spans="1:19" x14ac:dyDescent="0.2">
      <c r="A103" s="1">
        <v>219</v>
      </c>
      <c r="B103" s="2" t="s">
        <v>365</v>
      </c>
      <c r="C103" s="2" t="str">
        <f>IF(COUNTIF($X$3:$X$20,B103)&gt;0,$X$2,
 IF(COUNTIF($Y$3:$Y$20,B103)&gt;0,$Y$2,
 IF(COUNTIF($Z$3:$Z$20,B103)&gt;0,$Z$2,
 IF(COUNTIF($AA$3:$AA$20,B103)&gt;0,$AA$2,
 IF(COUNTIF($AB$3:$AB$20,B103)&gt;0,$AB$2,
 IF(COUNTIF($AC$3:$AC$20,B103)&gt;0,$AC$2,
 IF(COUNTIF($AD$3:$AD$20,B103)&gt;0,$AD$2,
 "Not Found")))))))</f>
        <v>ACC</v>
      </c>
      <c r="D103" s="2" t="s">
        <v>10</v>
      </c>
      <c r="E103" s="2" t="s">
        <v>11</v>
      </c>
      <c r="F103" s="2">
        <v>115</v>
      </c>
      <c r="G103" s="4">
        <v>0.27800000000000002</v>
      </c>
      <c r="H103" s="2">
        <v>-727</v>
      </c>
      <c r="I103" s="2">
        <v>97.2</v>
      </c>
      <c r="J103" s="2">
        <v>106.4</v>
      </c>
      <c r="K103" s="4">
        <v>0.51700000000000002</v>
      </c>
      <c r="L103" s="4">
        <v>0.54500000000000004</v>
      </c>
      <c r="M103" s="2">
        <v>312</v>
      </c>
      <c r="N103" s="4">
        <v>0.753</v>
      </c>
      <c r="O103" s="8">
        <f>Table1[[#This Row],[PT MARGIN]]/Table1[[#This Row],[G]]</f>
        <v>-6.321739130434783</v>
      </c>
      <c r="S103" s="50"/>
    </row>
    <row r="104" spans="1:19" hidden="1" x14ac:dyDescent="0.2">
      <c r="A104" s="1">
        <v>1</v>
      </c>
      <c r="B104" s="2" t="s">
        <v>9</v>
      </c>
      <c r="C104" s="2" t="str">
        <f>IF(COUNTIF($X$3:$X$20,B104)&gt;0,$X$2,
 IF(COUNTIF($Y$3:$Y$20,B104)&gt;0,$Y$2,
 IF(COUNTIF($Z$3:$Z$20,B104)&gt;0,$Z$2,
 IF(COUNTIF($AA$3:$AA$20,B104)&gt;0,$AA$2,
 IF(COUNTIF($AB$3:$AB$20,B104)&gt;0,$AB$2,
 IF(COUNTIF($AC$3:$AC$20,B104)&gt;0,$AC$2,
 IF(COUNTIF($AD$3:$AD$20,B104)&gt;0,$AD$2,
 "Not Found")))))))</f>
        <v>Not Found</v>
      </c>
      <c r="D104" s="2" t="s">
        <v>10</v>
      </c>
      <c r="E104" s="2" t="s">
        <v>11</v>
      </c>
      <c r="F104" s="2">
        <v>94</v>
      </c>
      <c r="G104" s="4">
        <v>0.872</v>
      </c>
      <c r="H104" s="2">
        <v>1487</v>
      </c>
      <c r="I104" s="2">
        <v>117.6</v>
      </c>
      <c r="J104" s="2">
        <v>95.7</v>
      </c>
      <c r="K104" s="4">
        <v>0.60599999999999998</v>
      </c>
      <c r="L104" s="4">
        <v>0.50600000000000001</v>
      </c>
      <c r="M104" s="2">
        <v>-145</v>
      </c>
      <c r="N104" s="4">
        <v>0.71699999999999997</v>
      </c>
      <c r="O104" s="8">
        <f>Table1[[#This Row],[PT MARGIN]]/Table1[[#This Row],[G]]</f>
        <v>15.819148936170214</v>
      </c>
      <c r="S104" s="50"/>
    </row>
    <row r="105" spans="1:19" hidden="1" x14ac:dyDescent="0.2">
      <c r="A105" s="1">
        <v>309</v>
      </c>
      <c r="B105" s="2" t="s">
        <v>275</v>
      </c>
      <c r="C105" s="2" t="str">
        <f>IF(COUNTIF($X$3:$X$20,B105)&gt;0,$X$2,
 IF(COUNTIF($Y$3:$Y$20,B105)&gt;0,$Y$2,
 IF(COUNTIF($Z$3:$Z$20,B105)&gt;0,$Z$2,
 IF(COUNTIF($AA$3:$AA$20,B105)&gt;0,$AA$2,
 IF(COUNTIF($AB$3:$AB$20,B105)&gt;0,$AB$2,
 IF(COUNTIF($AC$3:$AC$20,B105)&gt;0,$AC$2,
 IF(COUNTIF($AD$3:$AD$20,B105)&gt;0,$AD$2,
 "Not Found")))))))</f>
        <v>Not Found</v>
      </c>
      <c r="D105" s="2" t="s">
        <v>10</v>
      </c>
      <c r="E105" s="2" t="s">
        <v>11</v>
      </c>
      <c r="F105" s="2">
        <v>164</v>
      </c>
      <c r="G105" s="4">
        <v>0.34799999999999998</v>
      </c>
      <c r="H105" s="2">
        <v>-1229</v>
      </c>
      <c r="I105" s="2">
        <v>91.4</v>
      </c>
      <c r="J105" s="2">
        <v>102</v>
      </c>
      <c r="K105" s="4">
        <v>0.502</v>
      </c>
      <c r="L105" s="4">
        <v>0.53700000000000003</v>
      </c>
      <c r="M105" s="2">
        <v>282</v>
      </c>
      <c r="N105" s="4">
        <v>0.68300000000000005</v>
      </c>
      <c r="O105" s="8">
        <f>Table1[[#This Row],[PT MARGIN]]/Table1[[#This Row],[G]]</f>
        <v>-7.4939024390243905</v>
      </c>
      <c r="S105" s="50"/>
    </row>
    <row r="106" spans="1:19" hidden="1" x14ac:dyDescent="0.2">
      <c r="A106" s="1">
        <v>43</v>
      </c>
      <c r="B106" s="2" t="s">
        <v>53</v>
      </c>
      <c r="C106" s="2" t="str">
        <f>IF(COUNTIF($X$3:$X$20,B106)&gt;0,$X$2,
 IF(COUNTIF($Y$3:$Y$20,B106)&gt;0,$Y$2,
 IF(COUNTIF($Z$3:$Z$20,B106)&gt;0,$Z$2,
 IF(COUNTIF($AA$3:$AA$20,B106)&gt;0,$AA$2,
 IF(COUNTIF($AB$3:$AB$20,B106)&gt;0,$AB$2,
 IF(COUNTIF($AC$3:$AC$20,B106)&gt;0,$AC$2,
 IF(COUNTIF($AD$3:$AD$20,B106)&gt;0,$AD$2,
 "Not Found")))))))</f>
        <v>Not Found</v>
      </c>
      <c r="D106" s="2" t="s">
        <v>10</v>
      </c>
      <c r="E106" s="2" t="s">
        <v>11</v>
      </c>
      <c r="F106" s="2">
        <v>101</v>
      </c>
      <c r="G106" s="4">
        <v>0.52500000000000002</v>
      </c>
      <c r="H106" s="2">
        <v>9</v>
      </c>
      <c r="I106" s="2">
        <v>99.6</v>
      </c>
      <c r="J106" s="2">
        <v>99.5</v>
      </c>
      <c r="K106" s="4">
        <v>0.52800000000000002</v>
      </c>
      <c r="L106" s="4">
        <v>0.52200000000000002</v>
      </c>
      <c r="M106" s="2">
        <v>-35</v>
      </c>
      <c r="N106" s="4">
        <v>0.72499999999999998</v>
      </c>
      <c r="O106" s="8">
        <f>Table1[[#This Row],[PT MARGIN]]/Table1[[#This Row],[G]]</f>
        <v>8.9108910891089105E-2</v>
      </c>
      <c r="S106" s="50"/>
    </row>
    <row r="107" spans="1:19" hidden="1" x14ac:dyDescent="0.2">
      <c r="A107" s="1">
        <v>318</v>
      </c>
      <c r="B107" s="2" t="s">
        <v>266</v>
      </c>
      <c r="C107" s="2" t="str">
        <f>IF(COUNTIF($X$3:$X$20,B107)&gt;0,$X$2,
 IF(COUNTIF($Y$3:$Y$20,B107)&gt;0,$Y$2,
 IF(COUNTIF($Z$3:$Z$20,B107)&gt;0,$Z$2,
 IF(COUNTIF($AA$3:$AA$20,B107)&gt;0,$AA$2,
 IF(COUNTIF($AB$3:$AB$20,B107)&gt;0,$AB$2,
 IF(COUNTIF($AC$3:$AC$20,B107)&gt;0,$AC$2,
 IF(COUNTIF($AD$3:$AD$20,B107)&gt;0,$AD$2,
 "Not Found")))))))</f>
        <v>Not Found</v>
      </c>
      <c r="D107" s="2" t="s">
        <v>10</v>
      </c>
      <c r="E107" s="2" t="s">
        <v>11</v>
      </c>
      <c r="F107" s="2">
        <v>156</v>
      </c>
      <c r="G107" s="4">
        <v>0.26300000000000001</v>
      </c>
      <c r="H107" s="2">
        <v>-1303</v>
      </c>
      <c r="I107" s="2">
        <v>97.2</v>
      </c>
      <c r="J107" s="2">
        <v>108.6</v>
      </c>
      <c r="K107" s="4">
        <v>0.52300000000000002</v>
      </c>
      <c r="L107" s="4">
        <v>0.56100000000000005</v>
      </c>
      <c r="M107" s="2">
        <v>269</v>
      </c>
      <c r="N107" s="4">
        <v>0.72</v>
      </c>
      <c r="O107" s="8">
        <f>Table1[[#This Row],[PT MARGIN]]/Table1[[#This Row],[G]]</f>
        <v>-8.3525641025641022</v>
      </c>
      <c r="S107" s="50"/>
    </row>
    <row r="108" spans="1:19" hidden="1" x14ac:dyDescent="0.2">
      <c r="A108" s="1">
        <v>296</v>
      </c>
      <c r="B108" s="2" t="s">
        <v>288</v>
      </c>
      <c r="C108" s="2" t="str">
        <f>IF(COUNTIF($X$3:$X$20,B108)&gt;0,$X$2,
 IF(COUNTIF($Y$3:$Y$20,B108)&gt;0,$Y$2,
 IF(COUNTIF($Z$3:$Z$20,B108)&gt;0,$Z$2,
 IF(COUNTIF($AA$3:$AA$20,B108)&gt;0,$AA$2,
 IF(COUNTIF($AB$3:$AB$20,B108)&gt;0,$AB$2,
 IF(COUNTIF($AC$3:$AC$20,B108)&gt;0,$AC$2,
 IF(COUNTIF($AD$3:$AD$20,B108)&gt;0,$AD$2,
 "Not Found")))))))</f>
        <v>Not Found</v>
      </c>
      <c r="D108" s="2" t="s">
        <v>10</v>
      </c>
      <c r="E108" s="2" t="s">
        <v>11</v>
      </c>
      <c r="F108" s="2">
        <v>140</v>
      </c>
      <c r="G108" s="4">
        <v>0.27900000000000003</v>
      </c>
      <c r="H108" s="2">
        <v>-1132</v>
      </c>
      <c r="I108" s="2">
        <v>97</v>
      </c>
      <c r="J108" s="2">
        <v>108.1</v>
      </c>
      <c r="K108" s="4">
        <v>0.502</v>
      </c>
      <c r="L108" s="4">
        <v>0.55900000000000005</v>
      </c>
      <c r="M108" s="2">
        <v>271</v>
      </c>
      <c r="N108" s="4">
        <v>0.71199999999999997</v>
      </c>
      <c r="O108" s="8">
        <f>Table1[[#This Row],[PT MARGIN]]/Table1[[#This Row],[G]]</f>
        <v>-8.0857142857142854</v>
      </c>
      <c r="S108" s="50"/>
    </row>
    <row r="109" spans="1:19" hidden="1" x14ac:dyDescent="0.2">
      <c r="A109" s="1">
        <v>211</v>
      </c>
      <c r="B109" s="2" t="s">
        <v>373</v>
      </c>
      <c r="C109" s="2" t="str">
        <f>IF(COUNTIF($X$3:$X$20,B109)&gt;0,$X$2,
 IF(COUNTIF($Y$3:$Y$20,B109)&gt;0,$Y$2,
 IF(COUNTIF($Z$3:$Z$20,B109)&gt;0,$Z$2,
 IF(COUNTIF($AA$3:$AA$20,B109)&gt;0,$AA$2,
 IF(COUNTIF($AB$3:$AB$20,B109)&gt;0,$AB$2,
 IF(COUNTIF($AC$3:$AC$20,B109)&gt;0,$AC$2,
 IF(COUNTIF($AD$3:$AD$20,B109)&gt;0,$AD$2,
 "Not Found")))))))</f>
        <v>Not Found</v>
      </c>
      <c r="D109" s="2" t="s">
        <v>10</v>
      </c>
      <c r="E109" s="2" t="s">
        <v>113</v>
      </c>
      <c r="F109" s="2">
        <v>114</v>
      </c>
      <c r="G109" s="4">
        <v>0.36799999999999999</v>
      </c>
      <c r="H109" s="2">
        <v>-707</v>
      </c>
      <c r="I109" s="2">
        <v>96.5</v>
      </c>
      <c r="J109" s="2">
        <v>105.3</v>
      </c>
      <c r="K109" s="4">
        <v>0.52900000000000003</v>
      </c>
      <c r="L109" s="4">
        <v>0.54400000000000004</v>
      </c>
      <c r="M109" s="2">
        <v>126</v>
      </c>
      <c r="N109" s="4">
        <v>0.70399999999999996</v>
      </c>
      <c r="O109" s="8">
        <f>Table1[[#This Row],[PT MARGIN]]/Table1[[#This Row],[G]]</f>
        <v>-6.2017543859649127</v>
      </c>
      <c r="S109" s="50"/>
    </row>
    <row r="110" spans="1:19" hidden="1" x14ac:dyDescent="0.2">
      <c r="A110" s="1">
        <v>88</v>
      </c>
      <c r="B110" s="2" t="s">
        <v>100</v>
      </c>
      <c r="C110" s="2" t="str">
        <f>IF(COUNTIF($X$3:$X$20,B110)&gt;0,$X$2,
 IF(COUNTIF($Y$3:$Y$20,B110)&gt;0,$Y$2,
 IF(COUNTIF($Z$3:$Z$20,B110)&gt;0,$Z$2,
 IF(COUNTIF($AA$3:$AA$20,B110)&gt;0,$AA$2,
 IF(COUNTIF($AB$3:$AB$20,B110)&gt;0,$AB$2,
 IF(COUNTIF($AC$3:$AC$20,B110)&gt;0,$AC$2,
 IF(COUNTIF($AD$3:$AD$20,B110)&gt;0,$AD$2,
 "Not Found")))))))</f>
        <v>Not Found</v>
      </c>
      <c r="D110" s="2" t="s">
        <v>10</v>
      </c>
      <c r="E110" s="2" t="s">
        <v>11</v>
      </c>
      <c r="F110" s="2">
        <v>123</v>
      </c>
      <c r="G110" s="4">
        <v>0.44700000000000001</v>
      </c>
      <c r="H110" s="2">
        <v>-252</v>
      </c>
      <c r="I110" s="2">
        <v>98.7</v>
      </c>
      <c r="J110" s="2">
        <v>101.6</v>
      </c>
      <c r="K110" s="4">
        <v>0.53100000000000003</v>
      </c>
      <c r="L110" s="4">
        <v>0.53700000000000003</v>
      </c>
      <c r="M110" s="2">
        <v>11</v>
      </c>
      <c r="N110" s="4">
        <v>0.72399999999999998</v>
      </c>
      <c r="O110" s="8">
        <f>Table1[[#This Row],[PT MARGIN]]/Table1[[#This Row],[G]]</f>
        <v>-2.0487804878048781</v>
      </c>
      <c r="S110" s="50"/>
    </row>
    <row r="111" spans="1:19" hidden="1" x14ac:dyDescent="0.2">
      <c r="A111" s="1">
        <v>72</v>
      </c>
      <c r="B111" s="2" t="s">
        <v>83</v>
      </c>
      <c r="C111" s="2" t="str">
        <f>IF(COUNTIF($X$3:$X$20,B111)&gt;0,$X$2,
 IF(COUNTIF($Y$3:$Y$20,B111)&gt;0,$Y$2,
 IF(COUNTIF($Z$3:$Z$20,B111)&gt;0,$Z$2,
 IF(COUNTIF($AA$3:$AA$20,B111)&gt;0,$AA$2,
 IF(COUNTIF($AB$3:$AB$20,B111)&gt;0,$AB$2,
 IF(COUNTIF($AC$3:$AC$20,B111)&gt;0,$AC$2,
 IF(COUNTIF($AD$3:$AD$20,B111)&gt;0,$AD$2,
 "Not Found")))))))</f>
        <v>Not Found</v>
      </c>
      <c r="D111" s="2" t="s">
        <v>10</v>
      </c>
      <c r="E111" s="2" t="s">
        <v>11</v>
      </c>
      <c r="F111" s="2">
        <v>94</v>
      </c>
      <c r="G111" s="4">
        <v>0.44700000000000001</v>
      </c>
      <c r="H111" s="2">
        <v>-173</v>
      </c>
      <c r="I111" s="2">
        <v>100.8</v>
      </c>
      <c r="J111" s="2">
        <v>103.4</v>
      </c>
      <c r="K111" s="4">
        <v>0.53800000000000003</v>
      </c>
      <c r="L111" s="4">
        <v>0.54300000000000004</v>
      </c>
      <c r="M111" s="2">
        <v>28</v>
      </c>
      <c r="N111" s="4">
        <v>0.73599999999999999</v>
      </c>
      <c r="O111" s="8">
        <f>Table1[[#This Row],[PT MARGIN]]/Table1[[#This Row],[G]]</f>
        <v>-1.8404255319148937</v>
      </c>
      <c r="S111" s="50"/>
    </row>
    <row r="112" spans="1:19" hidden="1" x14ac:dyDescent="0.2">
      <c r="A112" s="1">
        <v>193</v>
      </c>
      <c r="B112" s="2" t="s">
        <v>209</v>
      </c>
      <c r="C112" s="2" t="str">
        <f>IF(COUNTIF($X$3:$X$20,B112)&gt;0,$X$2,
 IF(COUNTIF($Y$3:$Y$20,B112)&gt;0,$Y$2,
 IF(COUNTIF($Z$3:$Z$20,B112)&gt;0,$Z$2,
 IF(COUNTIF($AA$3:$AA$20,B112)&gt;0,$AA$2,
 IF(COUNTIF($AB$3:$AB$20,B112)&gt;0,$AB$2,
 IF(COUNTIF($AC$3:$AC$20,B112)&gt;0,$AC$2,
 IF(COUNTIF($AD$3:$AD$20,B112)&gt;0,$AD$2,
 "Not Found")))))))</f>
        <v>Not Found</v>
      </c>
      <c r="D112" s="2" t="s">
        <v>10</v>
      </c>
      <c r="E112" s="2" t="s">
        <v>11</v>
      </c>
      <c r="F112" s="2">
        <v>132</v>
      </c>
      <c r="G112" s="4">
        <v>0.371</v>
      </c>
      <c r="H112" s="2">
        <v>-626</v>
      </c>
      <c r="I112" s="2">
        <v>100.5</v>
      </c>
      <c r="J112" s="2">
        <v>107.4</v>
      </c>
      <c r="K112" s="4">
        <v>0.52600000000000002</v>
      </c>
      <c r="L112" s="4">
        <v>0.56100000000000005</v>
      </c>
      <c r="M112" s="2">
        <v>-2</v>
      </c>
      <c r="N112" s="4">
        <v>0.69499999999999995</v>
      </c>
      <c r="O112" s="8">
        <f>Table1[[#This Row],[PT MARGIN]]/Table1[[#This Row],[G]]</f>
        <v>-4.7424242424242422</v>
      </c>
      <c r="S112" s="50"/>
    </row>
    <row r="113" spans="1:19" hidden="1" x14ac:dyDescent="0.2">
      <c r="A113" s="1">
        <v>20</v>
      </c>
      <c r="B113" s="2" t="s">
        <v>30</v>
      </c>
      <c r="C113" s="2" t="str">
        <f>IF(COUNTIF($X$3:$X$20,B113)&gt;0,$X$2,
 IF(COUNTIF($Y$3:$Y$20,B113)&gt;0,$Y$2,
 IF(COUNTIF($Z$3:$Z$20,B113)&gt;0,$Z$2,
 IF(COUNTIF($AA$3:$AA$20,B113)&gt;0,$AA$2,
 IF(COUNTIF($AB$3:$AB$20,B113)&gt;0,$AB$2,
 IF(COUNTIF($AC$3:$AC$20,B113)&gt;0,$AC$2,
 IF(COUNTIF($AD$3:$AD$20,B113)&gt;0,$AD$2,
 "Not Found")))))))</f>
        <v>Not Found</v>
      </c>
      <c r="D113" s="2" t="s">
        <v>10</v>
      </c>
      <c r="E113" s="2" t="s">
        <v>11</v>
      </c>
      <c r="F113" s="2">
        <v>140</v>
      </c>
      <c r="G113" s="4">
        <v>0.55700000000000005</v>
      </c>
      <c r="H113" s="2">
        <v>216</v>
      </c>
      <c r="I113" s="2">
        <v>106.2</v>
      </c>
      <c r="J113" s="2">
        <v>104</v>
      </c>
      <c r="K113" s="4">
        <v>0.55800000000000005</v>
      </c>
      <c r="L113" s="4">
        <v>0.53500000000000003</v>
      </c>
      <c r="M113" s="2">
        <v>-126</v>
      </c>
      <c r="N113" s="4">
        <v>0.71699999999999997</v>
      </c>
      <c r="O113" s="8">
        <f>Table1[[#This Row],[PT MARGIN]]/Table1[[#This Row],[G]]</f>
        <v>1.5428571428571429</v>
      </c>
      <c r="S113" s="50"/>
    </row>
    <row r="114" spans="1:19" hidden="1" x14ac:dyDescent="0.2">
      <c r="A114" s="1">
        <v>319</v>
      </c>
      <c r="B114" s="2" t="s">
        <v>265</v>
      </c>
      <c r="C114" s="2" t="str">
        <f>IF(COUNTIF($X$3:$X$20,B114)&gt;0,$X$2,
 IF(COUNTIF($Y$3:$Y$20,B114)&gt;0,$Y$2,
 IF(COUNTIF($Z$3:$Z$20,B114)&gt;0,$Z$2,
 IF(COUNTIF($AA$3:$AA$20,B114)&gt;0,$AA$2,
 IF(COUNTIF($AB$3:$AB$20,B114)&gt;0,$AB$2,
 IF(COUNTIF($AC$3:$AC$20,B114)&gt;0,$AC$2,
 IF(COUNTIF($AD$3:$AD$20,B114)&gt;0,$AD$2,
 "Not Found")))))))</f>
        <v>Not Found</v>
      </c>
      <c r="D114" s="2" t="s">
        <v>10</v>
      </c>
      <c r="E114" s="2" t="s">
        <v>11</v>
      </c>
      <c r="F114" s="2">
        <v>145</v>
      </c>
      <c r="G114" s="4">
        <v>0.255</v>
      </c>
      <c r="H114" s="2">
        <v>-1306</v>
      </c>
      <c r="I114" s="2">
        <v>95.7</v>
      </c>
      <c r="J114" s="2">
        <v>109.1</v>
      </c>
      <c r="K114" s="4">
        <v>0.52100000000000002</v>
      </c>
      <c r="L114" s="4">
        <v>0.56799999999999995</v>
      </c>
      <c r="M114" s="2">
        <v>248</v>
      </c>
      <c r="N114" s="4">
        <v>0.71399999999999997</v>
      </c>
      <c r="O114" s="8">
        <f>Table1[[#This Row],[PT MARGIN]]/Table1[[#This Row],[G]]</f>
        <v>-9.0068965517241377</v>
      </c>
      <c r="S114" s="50"/>
    </row>
    <row r="115" spans="1:19" x14ac:dyDescent="0.2">
      <c r="A115" s="1">
        <v>3</v>
      </c>
      <c r="B115" s="2" t="s">
        <v>13</v>
      </c>
      <c r="C115" s="2" t="str">
        <f>IF(COUNTIF($X$3:$X$20,B115)&gt;0,$X$2,
 IF(COUNTIF($Y$3:$Y$20,B115)&gt;0,$Y$2,
 IF(COUNTIF($Z$3:$Z$20,B115)&gt;0,$Z$2,
 IF(COUNTIF($AA$3:$AA$20,B115)&gt;0,$AA$2,
 IF(COUNTIF($AB$3:$AB$20,B115)&gt;0,$AB$2,
 IF(COUNTIF($AC$3:$AC$20,B115)&gt;0,$AC$2,
 IF(COUNTIF($AD$3:$AD$20,B115)&gt;0,$AD$2,
 "Not Found")))))))</f>
        <v>Big 12</v>
      </c>
      <c r="D115" s="2" t="s">
        <v>10</v>
      </c>
      <c r="E115" s="2" t="s">
        <v>11</v>
      </c>
      <c r="F115" s="2">
        <v>104</v>
      </c>
      <c r="G115" s="4">
        <v>0.71199999999999997</v>
      </c>
      <c r="H115" s="2">
        <v>697</v>
      </c>
      <c r="I115" s="2">
        <v>108.4</v>
      </c>
      <c r="J115" s="2">
        <v>98.4</v>
      </c>
      <c r="K115" s="4">
        <v>0.54100000000000004</v>
      </c>
      <c r="L115" s="4">
        <v>0.51900000000000002</v>
      </c>
      <c r="M115" s="2">
        <v>281</v>
      </c>
      <c r="N115" s="4">
        <v>0.71499999999999997</v>
      </c>
      <c r="O115" s="8">
        <f>Table1[[#This Row],[PT MARGIN]]/Table1[[#This Row],[G]]</f>
        <v>6.7019230769230766</v>
      </c>
      <c r="S115" s="50"/>
    </row>
    <row r="116" spans="1:19" hidden="1" x14ac:dyDescent="0.2">
      <c r="A116" s="1">
        <v>356</v>
      </c>
      <c r="B116" s="2" t="s">
        <v>228</v>
      </c>
      <c r="C116" s="2" t="str">
        <f>IF(COUNTIF($X$3:$X$20,B116)&gt;0,$X$2,
 IF(COUNTIF($Y$3:$Y$20,B116)&gt;0,$Y$2,
 IF(COUNTIF($Z$3:$Z$20,B116)&gt;0,$Z$2,
 IF(COUNTIF($AA$3:$AA$20,B116)&gt;0,$AA$2,
 IF(COUNTIF($AB$3:$AB$20,B116)&gt;0,$AB$2,
 IF(COUNTIF($AC$3:$AC$20,B116)&gt;0,$AC$2,
 IF(COUNTIF($AD$3:$AD$20,B116)&gt;0,$AD$2,
 "Not Found")))))))</f>
        <v>Not Found</v>
      </c>
      <c r="D116" s="2" t="s">
        <v>10</v>
      </c>
      <c r="E116" s="2" t="s">
        <v>11</v>
      </c>
      <c r="F116" s="2">
        <v>150</v>
      </c>
      <c r="G116" s="4">
        <v>0.16700000000000001</v>
      </c>
      <c r="H116" s="2">
        <v>-2005</v>
      </c>
      <c r="I116" s="2">
        <v>94.4</v>
      </c>
      <c r="J116" s="2">
        <v>112.5</v>
      </c>
      <c r="K116" s="4">
        <v>0.50800000000000001</v>
      </c>
      <c r="L116" s="4">
        <v>0.58599999999999997</v>
      </c>
      <c r="M116" s="2">
        <v>8</v>
      </c>
      <c r="N116" s="4">
        <v>0.72599999999999998</v>
      </c>
      <c r="O116" s="8">
        <f>Table1[[#This Row],[PT MARGIN]]/Table1[[#This Row],[G]]</f>
        <v>-13.366666666666667</v>
      </c>
      <c r="S116" s="50"/>
    </row>
    <row r="117" spans="1:19" hidden="1" x14ac:dyDescent="0.2">
      <c r="A117" s="1">
        <v>328</v>
      </c>
      <c r="B117" s="2" t="s">
        <v>256</v>
      </c>
      <c r="C117" s="2" t="str">
        <f>IF(COUNTIF($X$3:$X$20,B117)&gt;0,$X$2,
 IF(COUNTIF($Y$3:$Y$20,B117)&gt;0,$Y$2,
 IF(COUNTIF($Z$3:$Z$20,B117)&gt;0,$Z$2,
 IF(COUNTIF($AA$3:$AA$20,B117)&gt;0,$AA$2,
 IF(COUNTIF($AB$3:$AB$20,B117)&gt;0,$AB$2,
 IF(COUNTIF($AC$3:$AC$20,B117)&gt;0,$AC$2,
 IF(COUNTIF($AD$3:$AD$20,B117)&gt;0,$AD$2,
 "Not Found")))))))</f>
        <v>Not Found</v>
      </c>
      <c r="D117" s="2" t="s">
        <v>10</v>
      </c>
      <c r="E117" s="2" t="s">
        <v>11</v>
      </c>
      <c r="F117" s="2">
        <v>139</v>
      </c>
      <c r="G117" s="4">
        <v>0.25900000000000001</v>
      </c>
      <c r="H117" s="2">
        <v>-1427</v>
      </c>
      <c r="I117" s="2">
        <v>94.5</v>
      </c>
      <c r="J117" s="2">
        <v>108.6</v>
      </c>
      <c r="K117" s="4">
        <v>0.51</v>
      </c>
      <c r="L117" s="4">
        <v>0.55900000000000005</v>
      </c>
      <c r="M117" s="2">
        <v>182</v>
      </c>
      <c r="N117" s="4">
        <v>0.71399999999999997</v>
      </c>
      <c r="O117" s="8">
        <f>Table1[[#This Row],[PT MARGIN]]/Table1[[#This Row],[G]]</f>
        <v>-10.266187050359711</v>
      </c>
      <c r="S117" s="50"/>
    </row>
    <row r="118" spans="1:19" hidden="1" x14ac:dyDescent="0.2">
      <c r="A118" s="1">
        <v>273</v>
      </c>
      <c r="B118" s="2" t="s">
        <v>311</v>
      </c>
      <c r="C118" s="2" t="str">
        <f>IF(COUNTIF($X$3:$X$20,B118)&gt;0,$X$2,
 IF(COUNTIF($Y$3:$Y$20,B118)&gt;0,$Y$2,
 IF(COUNTIF($Z$3:$Z$20,B118)&gt;0,$Z$2,
 IF(COUNTIF($AA$3:$AA$20,B118)&gt;0,$AA$2,
 IF(COUNTIF($AB$3:$AB$20,B118)&gt;0,$AB$2,
 IF(COUNTIF($AC$3:$AC$20,B118)&gt;0,$AC$2,
 IF(COUNTIF($AD$3:$AD$20,B118)&gt;0,$AD$2,
 "Not Found")))))))</f>
        <v>Not Found</v>
      </c>
      <c r="D118" s="2" t="s">
        <v>10</v>
      </c>
      <c r="E118" s="2" t="s">
        <v>11</v>
      </c>
      <c r="F118" s="2">
        <v>139</v>
      </c>
      <c r="G118" s="4">
        <v>0.28799999999999998</v>
      </c>
      <c r="H118" s="2">
        <v>-998</v>
      </c>
      <c r="I118" s="2">
        <v>98.7</v>
      </c>
      <c r="J118" s="2">
        <v>109.2</v>
      </c>
      <c r="K118" s="4">
        <v>0.54</v>
      </c>
      <c r="L118" s="4">
        <v>0.56499999999999995</v>
      </c>
      <c r="M118" s="2">
        <v>247</v>
      </c>
      <c r="N118" s="4">
        <v>0.70399999999999996</v>
      </c>
      <c r="O118" s="8">
        <f>Table1[[#This Row],[PT MARGIN]]/Table1[[#This Row],[G]]</f>
        <v>-7.1798561151079134</v>
      </c>
      <c r="S118" s="50"/>
    </row>
    <row r="119" spans="1:19" hidden="1" x14ac:dyDescent="0.2">
      <c r="A119" s="1">
        <v>306</v>
      </c>
      <c r="B119" s="2" t="s">
        <v>278</v>
      </c>
      <c r="C119" s="2" t="str">
        <f>IF(COUNTIF($X$3:$X$20,B119)&gt;0,$X$2,
 IF(COUNTIF($Y$3:$Y$20,B119)&gt;0,$Y$2,
 IF(COUNTIF($Z$3:$Z$20,B119)&gt;0,$Z$2,
 IF(COUNTIF($AA$3:$AA$20,B119)&gt;0,$AA$2,
 IF(COUNTIF($AB$3:$AB$20,B119)&gt;0,$AB$2,
 IF(COUNTIF($AC$3:$AC$20,B119)&gt;0,$AC$2,
 IF(COUNTIF($AD$3:$AD$20,B119)&gt;0,$AD$2,
 "Not Found")))))))</f>
        <v>Not Found</v>
      </c>
      <c r="D119" s="2" t="s">
        <v>10</v>
      </c>
      <c r="E119" s="2" t="s">
        <v>11</v>
      </c>
      <c r="F119" s="2">
        <v>153</v>
      </c>
      <c r="G119" s="4">
        <v>0.255</v>
      </c>
      <c r="H119" s="2">
        <v>-1216</v>
      </c>
      <c r="I119" s="2">
        <v>97.8</v>
      </c>
      <c r="J119" s="2">
        <v>109.3</v>
      </c>
      <c r="K119" s="4">
        <v>0.52100000000000002</v>
      </c>
      <c r="L119" s="4">
        <v>0.57099999999999995</v>
      </c>
      <c r="M119" s="2">
        <v>-16</v>
      </c>
      <c r="N119" s="4">
        <v>0.72499999999999998</v>
      </c>
      <c r="O119" s="8">
        <f>Table1[[#This Row],[PT MARGIN]]/Table1[[#This Row],[G]]</f>
        <v>-7.9477124183006538</v>
      </c>
      <c r="S119" s="50"/>
    </row>
    <row r="120" spans="1:19" x14ac:dyDescent="0.2">
      <c r="A120" s="1">
        <v>65</v>
      </c>
      <c r="B120" s="2" t="s">
        <v>76</v>
      </c>
      <c r="C120" s="2" t="str">
        <f>IF(COUNTIF($X$3:$X$20,B120)&gt;0,$X$2,
 IF(COUNTIF($Y$3:$Y$20,B120)&gt;0,$Y$2,
 IF(COUNTIF($Z$3:$Z$20,B120)&gt;0,$Z$2,
 IF(COUNTIF($AA$3:$AA$20,B120)&gt;0,$AA$2,
 IF(COUNTIF($AB$3:$AB$20,B120)&gt;0,$AB$2,
 IF(COUNTIF($AC$3:$AC$20,B120)&gt;0,$AC$2,
 IF(COUNTIF($AD$3:$AD$20,B120)&gt;0,$AD$2,
 "Not Found")))))))</f>
        <v>Big 10</v>
      </c>
      <c r="D120" s="2" t="s">
        <v>10</v>
      </c>
      <c r="E120" s="2" t="s">
        <v>11</v>
      </c>
      <c r="F120" s="2">
        <v>106</v>
      </c>
      <c r="G120" s="4">
        <v>0.40600000000000003</v>
      </c>
      <c r="H120" s="2">
        <v>-107</v>
      </c>
      <c r="I120" s="2">
        <v>103.5</v>
      </c>
      <c r="J120" s="2">
        <v>104.9</v>
      </c>
      <c r="K120" s="4">
        <v>0.53100000000000003</v>
      </c>
      <c r="L120" s="4">
        <v>0.54400000000000004</v>
      </c>
      <c r="M120" s="2">
        <v>165</v>
      </c>
      <c r="N120" s="4">
        <v>0.73099999999999998</v>
      </c>
      <c r="O120" s="8">
        <f>Table1[[#This Row],[PT MARGIN]]/Table1[[#This Row],[G]]</f>
        <v>-1.0094339622641511</v>
      </c>
      <c r="S120" s="50"/>
    </row>
    <row r="121" spans="1:19" hidden="1" x14ac:dyDescent="0.2">
      <c r="A121" s="1">
        <v>204</v>
      </c>
      <c r="B121" s="2" t="s">
        <v>380</v>
      </c>
      <c r="C121" s="2" t="str">
        <f>IF(COUNTIF($X$3:$X$20,B121)&gt;0,$X$2,
 IF(COUNTIF($Y$3:$Y$20,B121)&gt;0,$Y$2,
 IF(COUNTIF($Z$3:$Z$20,B121)&gt;0,$Z$2,
 IF(COUNTIF($AA$3:$AA$20,B121)&gt;0,$AA$2,
 IF(COUNTIF($AB$3:$AB$20,B121)&gt;0,$AB$2,
 IF(COUNTIF($AC$3:$AC$20,B121)&gt;0,$AC$2,
 IF(COUNTIF($AD$3:$AD$20,B121)&gt;0,$AD$2,
 "Not Found")))))))</f>
        <v>Not Found</v>
      </c>
      <c r="D121" s="2" t="s">
        <v>10</v>
      </c>
      <c r="E121" s="2" t="s">
        <v>11</v>
      </c>
      <c r="F121" s="2">
        <v>123</v>
      </c>
      <c r="G121" s="4">
        <v>0.29299999999999998</v>
      </c>
      <c r="H121" s="2">
        <v>-681</v>
      </c>
      <c r="I121" s="2">
        <v>98.5</v>
      </c>
      <c r="J121" s="2">
        <v>106.5</v>
      </c>
      <c r="K121" s="4">
        <v>0.53400000000000003</v>
      </c>
      <c r="L121" s="4">
        <v>0.55600000000000005</v>
      </c>
      <c r="M121" s="2">
        <v>404</v>
      </c>
      <c r="N121" s="4">
        <v>0.71199999999999997</v>
      </c>
      <c r="O121" s="8">
        <f>Table1[[#This Row],[PT MARGIN]]/Table1[[#This Row],[G]]</f>
        <v>-5.5365853658536581</v>
      </c>
      <c r="S121" s="50"/>
    </row>
    <row r="122" spans="1:19" hidden="1" x14ac:dyDescent="0.2">
      <c r="A122" s="1">
        <v>252</v>
      </c>
      <c r="B122" s="2" t="s">
        <v>332</v>
      </c>
      <c r="C122" s="2" t="str">
        <f>IF(COUNTIF($X$3:$X$20,B122)&gt;0,$X$2,
 IF(COUNTIF($Y$3:$Y$20,B122)&gt;0,$Y$2,
 IF(COUNTIF($Z$3:$Z$20,B122)&gt;0,$Z$2,
 IF(COUNTIF($AA$3:$AA$20,B122)&gt;0,$AA$2,
 IF(COUNTIF($AB$3:$AB$20,B122)&gt;0,$AB$2,
 IF(COUNTIF($AC$3:$AC$20,B122)&gt;0,$AC$2,
 IF(COUNTIF($AD$3:$AD$20,B122)&gt;0,$AD$2,
 "Not Found")))))))</f>
        <v>Not Found</v>
      </c>
      <c r="D122" s="2" t="s">
        <v>10</v>
      </c>
      <c r="E122" s="2" t="s">
        <v>11</v>
      </c>
      <c r="F122" s="2">
        <v>133</v>
      </c>
      <c r="G122" s="4">
        <v>0.32300000000000001</v>
      </c>
      <c r="H122" s="2">
        <v>-897</v>
      </c>
      <c r="I122" s="2">
        <v>95.8</v>
      </c>
      <c r="J122" s="2">
        <v>105</v>
      </c>
      <c r="K122" s="4">
        <v>0.52600000000000002</v>
      </c>
      <c r="L122" s="4">
        <v>0.54700000000000004</v>
      </c>
      <c r="M122" s="2">
        <v>391</v>
      </c>
      <c r="N122" s="4">
        <v>0.73699999999999999</v>
      </c>
      <c r="O122" s="8">
        <f>Table1[[#This Row],[PT MARGIN]]/Table1[[#This Row],[G]]</f>
        <v>-6.7443609022556394</v>
      </c>
      <c r="S122" s="50"/>
    </row>
    <row r="123" spans="1:19" hidden="1" x14ac:dyDescent="0.2">
      <c r="A123" s="1">
        <v>347</v>
      </c>
      <c r="B123" s="2" t="s">
        <v>237</v>
      </c>
      <c r="C123" s="2" t="str">
        <f>IF(COUNTIF($X$3:$X$20,B123)&gt;0,$X$2,
 IF(COUNTIF($Y$3:$Y$20,B123)&gt;0,$Y$2,
 IF(COUNTIF($Z$3:$Z$20,B123)&gt;0,$Z$2,
 IF(COUNTIF($AA$3:$AA$20,B123)&gt;0,$AA$2,
 IF(COUNTIF($AB$3:$AB$20,B123)&gt;0,$AB$2,
 IF(COUNTIF($AC$3:$AC$20,B123)&gt;0,$AC$2,
 IF(COUNTIF($AD$3:$AD$20,B123)&gt;0,$AD$2,
 "Not Found")))))))</f>
        <v>Not Found</v>
      </c>
      <c r="D123" s="2" t="s">
        <v>10</v>
      </c>
      <c r="E123" s="2" t="s">
        <v>11</v>
      </c>
      <c r="F123" s="2">
        <v>139</v>
      </c>
      <c r="G123" s="4">
        <v>0.187</v>
      </c>
      <c r="H123" s="2">
        <v>-1717</v>
      </c>
      <c r="I123" s="2">
        <v>94</v>
      </c>
      <c r="J123" s="2">
        <v>111.4</v>
      </c>
      <c r="K123" s="4">
        <v>0.52</v>
      </c>
      <c r="L123" s="4">
        <v>0.57399999999999995</v>
      </c>
      <c r="M123" s="2">
        <v>171</v>
      </c>
      <c r="N123" s="4">
        <v>0.71799999999999997</v>
      </c>
      <c r="O123" s="8">
        <f>Table1[[#This Row],[PT MARGIN]]/Table1[[#This Row],[G]]</f>
        <v>-12.352517985611511</v>
      </c>
      <c r="S123" s="50"/>
    </row>
    <row r="124" spans="1:19" x14ac:dyDescent="0.2">
      <c r="A124" s="1">
        <v>153</v>
      </c>
      <c r="B124" s="2" t="s">
        <v>169</v>
      </c>
      <c r="C124" s="2" t="str">
        <f>IF(COUNTIF($X$3:$X$20,B124)&gt;0,$X$2,
 IF(COUNTIF($Y$3:$Y$20,B124)&gt;0,$Y$2,
 IF(COUNTIF($Z$3:$Z$20,B124)&gt;0,$Z$2,
 IF(COUNTIF($AA$3:$AA$20,B124)&gt;0,$AA$2,
 IF(COUNTIF($AB$3:$AB$20,B124)&gt;0,$AB$2,
 IF(COUNTIF($AC$3:$AC$20,B124)&gt;0,$AC$2,
 IF(COUNTIF($AD$3:$AD$20,B124)&gt;0,$AD$2,
 "Not Found")))))))</f>
        <v>Big 10</v>
      </c>
      <c r="D124" s="2" t="s">
        <v>10</v>
      </c>
      <c r="E124" s="2" t="s">
        <v>11</v>
      </c>
      <c r="F124" s="2">
        <v>106</v>
      </c>
      <c r="G124" s="4">
        <v>0.33</v>
      </c>
      <c r="H124" s="2">
        <v>-498</v>
      </c>
      <c r="I124" s="2">
        <v>99.1</v>
      </c>
      <c r="J124" s="2">
        <v>105.8</v>
      </c>
      <c r="K124" s="4">
        <v>0.52300000000000002</v>
      </c>
      <c r="L124" s="4">
        <v>0.54200000000000004</v>
      </c>
      <c r="M124" s="2">
        <v>180</v>
      </c>
      <c r="N124" s="4">
        <v>0.72399999999999998</v>
      </c>
      <c r="O124" s="8">
        <f>Table1[[#This Row],[PT MARGIN]]/Table1[[#This Row],[G]]</f>
        <v>-4.6981132075471699</v>
      </c>
      <c r="S124" s="50"/>
    </row>
    <row r="125" spans="1:19" hidden="1" x14ac:dyDescent="0.2">
      <c r="A125" s="1">
        <v>159</v>
      </c>
      <c r="B125" s="2" t="s">
        <v>175</v>
      </c>
      <c r="C125" s="2" t="str">
        <f>IF(COUNTIF($X$3:$X$20,B125)&gt;0,$X$2,
 IF(COUNTIF($Y$3:$Y$20,B125)&gt;0,$Y$2,
 IF(COUNTIF($Z$3:$Z$20,B125)&gt;0,$Z$2,
 IF(COUNTIF($AA$3:$AA$20,B125)&gt;0,$AA$2,
 IF(COUNTIF($AB$3:$AB$20,B125)&gt;0,$AB$2,
 IF(COUNTIF($AC$3:$AC$20,B125)&gt;0,$AC$2,
 IF(COUNTIF($AD$3:$AD$20,B125)&gt;0,$AD$2,
 "Not Found")))))))</f>
        <v>Not Found</v>
      </c>
      <c r="D125" s="2" t="s">
        <v>10</v>
      </c>
      <c r="E125" s="2" t="s">
        <v>11</v>
      </c>
      <c r="F125" s="2">
        <v>126</v>
      </c>
      <c r="G125" s="4">
        <v>0.35699999999999998</v>
      </c>
      <c r="H125" s="2">
        <v>-519</v>
      </c>
      <c r="I125" s="2">
        <v>99.9</v>
      </c>
      <c r="J125" s="2">
        <v>105.6</v>
      </c>
      <c r="K125" s="4">
        <v>0.54400000000000004</v>
      </c>
      <c r="L125" s="4">
        <v>0.55900000000000005</v>
      </c>
      <c r="M125" s="2">
        <v>341</v>
      </c>
      <c r="N125" s="4">
        <v>0.72099999999999997</v>
      </c>
      <c r="O125" s="8">
        <f>Table1[[#This Row],[PT MARGIN]]/Table1[[#This Row],[G]]</f>
        <v>-4.1190476190476186</v>
      </c>
      <c r="S125" s="50"/>
    </row>
    <row r="126" spans="1:19" hidden="1" x14ac:dyDescent="0.2">
      <c r="A126" s="1">
        <v>44</v>
      </c>
      <c r="B126" s="2" t="s">
        <v>54</v>
      </c>
      <c r="C126" s="2" t="str">
        <f>IF(COUNTIF($X$3:$X$20,B126)&gt;0,$X$2,
 IF(COUNTIF($Y$3:$Y$20,B126)&gt;0,$Y$2,
 IF(COUNTIF($Z$3:$Z$20,B126)&gt;0,$Z$2,
 IF(COUNTIF($AA$3:$AA$20,B126)&gt;0,$AA$2,
 IF(COUNTIF($AB$3:$AB$20,B126)&gt;0,$AB$2,
 IF(COUNTIF($AC$3:$AC$20,B126)&gt;0,$AC$2,
 IF(COUNTIF($AD$3:$AD$20,B126)&gt;0,$AD$2,
 "Not Found")))))))</f>
        <v>Not Found</v>
      </c>
      <c r="D126" s="2" t="s">
        <v>10</v>
      </c>
      <c r="E126" s="2" t="s">
        <v>11</v>
      </c>
      <c r="F126" s="2">
        <v>127</v>
      </c>
      <c r="G126" s="4">
        <v>0.48799999999999999</v>
      </c>
      <c r="H126" s="2">
        <v>7</v>
      </c>
      <c r="I126" s="2">
        <v>103</v>
      </c>
      <c r="J126" s="2">
        <v>102.9</v>
      </c>
      <c r="K126" s="4">
        <v>0.54200000000000004</v>
      </c>
      <c r="L126" s="4">
        <v>0.53900000000000003</v>
      </c>
      <c r="M126" s="2">
        <v>278</v>
      </c>
      <c r="N126" s="4">
        <v>0.70099999999999996</v>
      </c>
      <c r="O126" s="8">
        <f>Table1[[#This Row],[PT MARGIN]]/Table1[[#This Row],[G]]</f>
        <v>5.5118110236220472E-2</v>
      </c>
      <c r="S126" s="50"/>
    </row>
    <row r="127" spans="1:19" x14ac:dyDescent="0.2">
      <c r="A127" s="1">
        <v>117</v>
      </c>
      <c r="B127" s="2" t="s">
        <v>133</v>
      </c>
      <c r="C127" s="2" t="str">
        <f>IF(COUNTIF($X$3:$X$20,B127)&gt;0,$X$2,
 IF(COUNTIF($Y$3:$Y$20,B127)&gt;0,$Y$2,
 IF(COUNTIF($Z$3:$Z$20,B127)&gt;0,$Z$2,
 IF(COUNTIF($AA$3:$AA$20,B127)&gt;0,$AA$2,
 IF(COUNTIF($AB$3:$AB$20,B127)&gt;0,$AB$2,
 IF(COUNTIF($AC$3:$AC$20,B127)&gt;0,$AC$2,
 IF(COUNTIF($AD$3:$AD$20,B127)&gt;0,$AD$2,
 "Not Found")))))))</f>
        <v>Big 10</v>
      </c>
      <c r="D127" s="2" t="s">
        <v>10</v>
      </c>
      <c r="E127" s="2" t="s">
        <v>11</v>
      </c>
      <c r="F127" s="2">
        <v>108</v>
      </c>
      <c r="G127" s="4">
        <v>0.37</v>
      </c>
      <c r="H127" s="2">
        <v>-363</v>
      </c>
      <c r="I127" s="2">
        <v>105.4</v>
      </c>
      <c r="J127" s="2">
        <v>110.2</v>
      </c>
      <c r="K127" s="4">
        <v>0.53200000000000003</v>
      </c>
      <c r="L127" s="4">
        <v>0.56499999999999995</v>
      </c>
      <c r="M127" s="2">
        <v>50</v>
      </c>
      <c r="N127" s="4">
        <v>0.71299999999999997</v>
      </c>
      <c r="O127" s="8">
        <f>Table1[[#This Row],[PT MARGIN]]/Table1[[#This Row],[G]]</f>
        <v>-3.3611111111111112</v>
      </c>
      <c r="S127" s="50"/>
    </row>
    <row r="128" spans="1:19" x14ac:dyDescent="0.2">
      <c r="A128" s="1">
        <v>184</v>
      </c>
      <c r="B128" s="2" t="s">
        <v>200</v>
      </c>
      <c r="C128" s="2" t="str">
        <f>IF(COUNTIF($X$3:$X$20,B128)&gt;0,$X$2,
 IF(COUNTIF($Y$3:$Y$20,B128)&gt;0,$Y$2,
 IF(COUNTIF($Z$3:$Z$20,B128)&gt;0,$Z$2,
 IF(COUNTIF($AA$3:$AA$20,B128)&gt;0,$AA$2,
 IF(COUNTIF($AB$3:$AB$20,B128)&gt;0,$AB$2,
 IF(COUNTIF($AC$3:$AC$20,B128)&gt;0,$AC$2,
 IF(COUNTIF($AD$3:$AD$20,B128)&gt;0,$AD$2,
 "Not Found")))))))</f>
        <v>Big 12</v>
      </c>
      <c r="D128" s="2" t="s">
        <v>10</v>
      </c>
      <c r="E128" s="2" t="s">
        <v>11</v>
      </c>
      <c r="F128" s="2">
        <v>107</v>
      </c>
      <c r="G128" s="4">
        <v>0.29899999999999999</v>
      </c>
      <c r="H128" s="2">
        <v>-604</v>
      </c>
      <c r="I128" s="2">
        <v>99.6</v>
      </c>
      <c r="J128" s="2">
        <v>107.6</v>
      </c>
      <c r="K128" s="4">
        <v>0.52500000000000002</v>
      </c>
      <c r="L128" s="4">
        <v>0.56200000000000006</v>
      </c>
      <c r="M128" s="2">
        <v>258</v>
      </c>
      <c r="N128" s="4">
        <v>0.72399999999999998</v>
      </c>
      <c r="O128" s="8">
        <f>Table1[[#This Row],[PT MARGIN]]/Table1[[#This Row],[G]]</f>
        <v>-5.6448598130841123</v>
      </c>
      <c r="S128" s="50"/>
    </row>
    <row r="129" spans="1:19" hidden="1" x14ac:dyDescent="0.2">
      <c r="A129" s="1">
        <v>352</v>
      </c>
      <c r="B129" s="2" t="s">
        <v>232</v>
      </c>
      <c r="C129" s="2" t="str">
        <f>IF(COUNTIF($X$3:$X$20,B129)&gt;0,$X$2,
 IF(COUNTIF($Y$3:$Y$20,B129)&gt;0,$Y$2,
 IF(COUNTIF($Z$3:$Z$20,B129)&gt;0,$Z$2,
 IF(COUNTIF($AA$3:$AA$20,B129)&gt;0,$AA$2,
 IF(COUNTIF($AB$3:$AB$20,B129)&gt;0,$AB$2,
 IF(COUNTIF($AC$3:$AC$20,B129)&gt;0,$AC$2,
 IF(COUNTIF($AD$3:$AD$20,B129)&gt;0,$AD$2,
 "Not Found")))))))</f>
        <v>Not Found</v>
      </c>
      <c r="D129" s="2" t="s">
        <v>10</v>
      </c>
      <c r="E129" s="2" t="s">
        <v>11</v>
      </c>
      <c r="F129" s="2">
        <v>148</v>
      </c>
      <c r="G129" s="4">
        <v>0.189</v>
      </c>
      <c r="H129" s="2">
        <v>-1776</v>
      </c>
      <c r="I129" s="2">
        <v>94.8</v>
      </c>
      <c r="J129" s="2">
        <v>111.8</v>
      </c>
      <c r="K129" s="4">
        <v>0.50700000000000001</v>
      </c>
      <c r="L129" s="4">
        <v>0.58699999999999997</v>
      </c>
      <c r="M129" s="2">
        <v>359</v>
      </c>
      <c r="N129" s="4">
        <v>0.74399999999999999</v>
      </c>
      <c r="O129" s="8">
        <f>Table1[[#This Row],[PT MARGIN]]/Table1[[#This Row],[G]]</f>
        <v>-12</v>
      </c>
      <c r="S129" s="50"/>
    </row>
    <row r="130" spans="1:19" hidden="1" x14ac:dyDescent="0.2">
      <c r="A130" s="1">
        <v>334</v>
      </c>
      <c r="B130" s="2" t="s">
        <v>250</v>
      </c>
      <c r="C130" s="2" t="str">
        <f>IF(COUNTIF($X$3:$X$20,B130)&gt;0,$X$2,
 IF(COUNTIF($Y$3:$Y$20,B130)&gt;0,$Y$2,
 IF(COUNTIF($Z$3:$Z$20,B130)&gt;0,$Z$2,
 IF(COUNTIF($AA$3:$AA$20,B130)&gt;0,$AA$2,
 IF(COUNTIF($AB$3:$AB$20,B130)&gt;0,$AB$2,
 IF(COUNTIF($AC$3:$AC$20,B130)&gt;0,$AC$2,
 IF(COUNTIF($AD$3:$AD$20,B130)&gt;0,$AD$2,
 "Not Found")))))))</f>
        <v>Not Found</v>
      </c>
      <c r="D130" s="2" t="s">
        <v>10</v>
      </c>
      <c r="E130" s="2" t="s">
        <v>11</v>
      </c>
      <c r="F130" s="2">
        <v>180</v>
      </c>
      <c r="G130" s="4">
        <v>0.27800000000000002</v>
      </c>
      <c r="H130" s="2">
        <v>-1505</v>
      </c>
      <c r="I130" s="2">
        <v>90.7</v>
      </c>
      <c r="J130" s="2">
        <v>102.6</v>
      </c>
      <c r="K130" s="4">
        <v>0.47499999999999998</v>
      </c>
      <c r="L130" s="4">
        <v>0.55400000000000005</v>
      </c>
      <c r="M130" s="2">
        <v>637</v>
      </c>
      <c r="N130" s="4">
        <v>0.71399999999999997</v>
      </c>
      <c r="O130" s="8">
        <f>Table1[[#This Row],[PT MARGIN]]/Table1[[#This Row],[G]]</f>
        <v>-8.3611111111111107</v>
      </c>
      <c r="S130" s="50"/>
    </row>
    <row r="131" spans="1:19" hidden="1" x14ac:dyDescent="0.2">
      <c r="A131" s="1">
        <v>272</v>
      </c>
      <c r="B131" s="2" t="s">
        <v>312</v>
      </c>
      <c r="C131" s="2" t="str">
        <f>IF(COUNTIF($X$3:$X$20,B131)&gt;0,$X$2,
 IF(COUNTIF($Y$3:$Y$20,B131)&gt;0,$Y$2,
 IF(COUNTIF($Z$3:$Z$20,B131)&gt;0,$Z$2,
 IF(COUNTIF($AA$3:$AA$20,B131)&gt;0,$AA$2,
 IF(COUNTIF($AB$3:$AB$20,B131)&gt;0,$AB$2,
 IF(COUNTIF($AC$3:$AC$20,B131)&gt;0,$AC$2,
 IF(COUNTIF($AD$3:$AD$20,B131)&gt;0,$AD$2,
 "Not Found")))))))</f>
        <v>Not Found</v>
      </c>
      <c r="D131" s="2" t="s">
        <v>10</v>
      </c>
      <c r="E131" s="2" t="s">
        <v>11</v>
      </c>
      <c r="F131" s="2">
        <v>150</v>
      </c>
      <c r="G131" s="4">
        <v>0.36</v>
      </c>
      <c r="H131" s="2">
        <v>-997</v>
      </c>
      <c r="I131" s="2">
        <v>96.4</v>
      </c>
      <c r="J131" s="2">
        <v>105.9</v>
      </c>
      <c r="K131" s="4">
        <v>0.51500000000000001</v>
      </c>
      <c r="L131" s="4">
        <v>0.55300000000000005</v>
      </c>
      <c r="M131" s="2">
        <v>230</v>
      </c>
      <c r="N131" s="4">
        <v>0.70699999999999996</v>
      </c>
      <c r="O131" s="8">
        <f>Table1[[#This Row],[PT MARGIN]]/Table1[[#This Row],[G]]</f>
        <v>-6.6466666666666665</v>
      </c>
      <c r="S131" s="50"/>
    </row>
    <row r="132" spans="1:19" hidden="1" x14ac:dyDescent="0.2">
      <c r="A132" s="1">
        <v>83</v>
      </c>
      <c r="B132" s="2" t="s">
        <v>95</v>
      </c>
      <c r="C132" s="2" t="str">
        <f>IF(COUNTIF($X$3:$X$20,B132)&gt;0,$X$2,
 IF(COUNTIF($Y$3:$Y$20,B132)&gt;0,$Y$2,
 IF(COUNTIF($Z$3:$Z$20,B132)&gt;0,$Z$2,
 IF(COUNTIF($AA$3:$AA$20,B132)&gt;0,$AA$2,
 IF(COUNTIF($AB$3:$AB$20,B132)&gt;0,$AB$2,
 IF(COUNTIF($AC$3:$AC$20,B132)&gt;0,$AC$2,
 IF(COUNTIF($AD$3:$AD$20,B132)&gt;0,$AD$2,
 "Not Found")))))))</f>
        <v>Not Found</v>
      </c>
      <c r="D132" s="2" t="s">
        <v>10</v>
      </c>
      <c r="E132" s="2" t="s">
        <v>11</v>
      </c>
      <c r="F132" s="2">
        <v>149</v>
      </c>
      <c r="G132" s="4">
        <v>0.43</v>
      </c>
      <c r="H132" s="2">
        <v>-226</v>
      </c>
      <c r="I132" s="2">
        <v>100.1</v>
      </c>
      <c r="J132" s="2">
        <v>102.3</v>
      </c>
      <c r="K132" s="4">
        <v>0.52800000000000002</v>
      </c>
      <c r="L132" s="4">
        <v>0.53600000000000003</v>
      </c>
      <c r="M132" s="2">
        <v>157</v>
      </c>
      <c r="N132" s="4">
        <v>0.71099999999999997</v>
      </c>
      <c r="O132" s="8">
        <f>Table1[[#This Row],[PT MARGIN]]/Table1[[#This Row],[G]]</f>
        <v>-1.5167785234899329</v>
      </c>
      <c r="S132" s="50"/>
    </row>
    <row r="133" spans="1:19" hidden="1" x14ac:dyDescent="0.2">
      <c r="A133" s="1">
        <v>87</v>
      </c>
      <c r="B133" s="2" t="s">
        <v>99</v>
      </c>
      <c r="C133" s="2" t="str">
        <f>IF(COUNTIF($X$3:$X$20,B133)&gt;0,$X$2,
 IF(COUNTIF($Y$3:$Y$20,B133)&gt;0,$Y$2,
 IF(COUNTIF($Z$3:$Z$20,B133)&gt;0,$Z$2,
 IF(COUNTIF($AA$3:$AA$20,B133)&gt;0,$AA$2,
 IF(COUNTIF($AB$3:$AB$20,B133)&gt;0,$AB$2,
 IF(COUNTIF($AC$3:$AC$20,B133)&gt;0,$AC$2,
 IF(COUNTIF($AD$3:$AD$20,B133)&gt;0,$AD$2,
 "Not Found")))))))</f>
        <v>Not Found</v>
      </c>
      <c r="D133" s="2" t="s">
        <v>10</v>
      </c>
      <c r="E133" s="2" t="s">
        <v>11</v>
      </c>
      <c r="F133" s="2">
        <v>129</v>
      </c>
      <c r="G133" s="4">
        <v>0.42599999999999999</v>
      </c>
      <c r="H133" s="2">
        <v>-241</v>
      </c>
      <c r="I133" s="2">
        <v>101.7</v>
      </c>
      <c r="J133" s="2">
        <v>104.3</v>
      </c>
      <c r="K133" s="4">
        <v>0.53300000000000003</v>
      </c>
      <c r="L133" s="4">
        <v>0.54500000000000004</v>
      </c>
      <c r="M133" s="2">
        <v>183</v>
      </c>
      <c r="N133" s="4">
        <v>0.71899999999999997</v>
      </c>
      <c r="O133" s="8">
        <f>Table1[[#This Row],[PT MARGIN]]/Table1[[#This Row],[G]]</f>
        <v>-1.8682170542635659</v>
      </c>
      <c r="S133" s="50"/>
    </row>
    <row r="134" spans="1:19" x14ac:dyDescent="0.2">
      <c r="A134" s="1">
        <v>22</v>
      </c>
      <c r="B134" s="2" t="s">
        <v>32</v>
      </c>
      <c r="C134" s="2" t="str">
        <f>IF(COUNTIF($X$3:$X$20,B134)&gt;0,$X$2,
 IF(COUNTIF($Y$3:$Y$20,B134)&gt;0,$Y$2,
 IF(COUNTIF($Z$3:$Z$20,B134)&gt;0,$Z$2,
 IF(COUNTIF($AA$3:$AA$20,B134)&gt;0,$AA$2,
 IF(COUNTIF($AB$3:$AB$20,B134)&gt;0,$AB$2,
 IF(COUNTIF($AC$3:$AC$20,B134)&gt;0,$AC$2,
 IF(COUNTIF($AD$3:$AD$20,B134)&gt;0,$AD$2,
 "Not Found")))))))</f>
        <v>Big 12</v>
      </c>
      <c r="D134" s="2" t="s">
        <v>10</v>
      </c>
      <c r="E134" s="2" t="s">
        <v>11</v>
      </c>
      <c r="F134" s="2">
        <v>108</v>
      </c>
      <c r="G134" s="4">
        <v>0.58299999999999996</v>
      </c>
      <c r="H134" s="2">
        <v>209</v>
      </c>
      <c r="I134" s="2">
        <v>102</v>
      </c>
      <c r="J134" s="2">
        <v>99.2</v>
      </c>
      <c r="K134" s="4">
        <v>0.54200000000000004</v>
      </c>
      <c r="L134" s="4">
        <v>0.51100000000000001</v>
      </c>
      <c r="M134" s="2">
        <v>132</v>
      </c>
      <c r="N134" s="4">
        <v>0.72199999999999998</v>
      </c>
      <c r="O134" s="8">
        <f>Table1[[#This Row],[PT MARGIN]]/Table1[[#This Row],[G]]</f>
        <v>1.9351851851851851</v>
      </c>
      <c r="S134" s="50"/>
    </row>
    <row r="135" spans="1:19" hidden="1" x14ac:dyDescent="0.2">
      <c r="A135" s="1">
        <v>293</v>
      </c>
      <c r="B135" s="2" t="s">
        <v>291</v>
      </c>
      <c r="C135" s="2" t="str">
        <f>IF(COUNTIF($X$3:$X$20,B135)&gt;0,$X$2,
 IF(COUNTIF($Y$3:$Y$20,B135)&gt;0,$Y$2,
 IF(COUNTIF($Z$3:$Z$20,B135)&gt;0,$Z$2,
 IF(COUNTIF($AA$3:$AA$20,B135)&gt;0,$AA$2,
 IF(COUNTIF($AB$3:$AB$20,B135)&gt;0,$AB$2,
 IF(COUNTIF($AC$3:$AC$20,B135)&gt;0,$AC$2,
 IF(COUNTIF($AD$3:$AD$20,B135)&gt;0,$AD$2,
 "Not Found")))))))</f>
        <v>Not Found</v>
      </c>
      <c r="D135" s="2" t="s">
        <v>10</v>
      </c>
      <c r="E135" s="2" t="s">
        <v>11</v>
      </c>
      <c r="F135" s="2">
        <v>139</v>
      </c>
      <c r="G135" s="4">
        <v>0.27300000000000002</v>
      </c>
      <c r="H135" s="2">
        <v>-1116</v>
      </c>
      <c r="I135" s="2">
        <v>95.8</v>
      </c>
      <c r="J135" s="2">
        <v>107.4</v>
      </c>
      <c r="K135" s="4">
        <v>0.51600000000000001</v>
      </c>
      <c r="L135" s="4">
        <v>0.57299999999999995</v>
      </c>
      <c r="M135" s="2">
        <v>577</v>
      </c>
      <c r="N135" s="4">
        <v>0.72</v>
      </c>
      <c r="O135" s="8">
        <f>Table1[[#This Row],[PT MARGIN]]/Table1[[#This Row],[G]]</f>
        <v>-8.028776978417266</v>
      </c>
      <c r="S135" s="50"/>
    </row>
    <row r="136" spans="1:19" x14ac:dyDescent="0.2">
      <c r="A136" s="1">
        <v>160</v>
      </c>
      <c r="B136" s="2" t="s">
        <v>176</v>
      </c>
      <c r="C136" s="2" t="str">
        <f>IF(COUNTIF($X$3:$X$20,B136)&gt;0,$X$2,
 IF(COUNTIF($Y$3:$Y$20,B136)&gt;0,$Y$2,
 IF(COUNTIF($Z$3:$Z$20,B136)&gt;0,$Z$2,
 IF(COUNTIF($AA$3:$AA$20,B136)&gt;0,$AA$2,
 IF(COUNTIF($AB$3:$AB$20,B136)&gt;0,$AB$2,
 IF(COUNTIF($AC$3:$AC$20,B136)&gt;0,$AC$2,
 IF(COUNTIF($AD$3:$AD$20,B136)&gt;0,$AD$2,
 "Not Found")))))))</f>
        <v>Big 12</v>
      </c>
      <c r="D136" s="2" t="s">
        <v>10</v>
      </c>
      <c r="E136" s="2" t="s">
        <v>11</v>
      </c>
      <c r="F136" s="2">
        <v>110</v>
      </c>
      <c r="G136" s="4">
        <v>0.33600000000000002</v>
      </c>
      <c r="H136" s="2">
        <v>-527</v>
      </c>
      <c r="I136" s="2">
        <v>97.4</v>
      </c>
      <c r="J136" s="2">
        <v>104.4</v>
      </c>
      <c r="K136" s="4">
        <v>0.51800000000000002</v>
      </c>
      <c r="L136" s="4">
        <v>0.55400000000000005</v>
      </c>
      <c r="M136" s="2">
        <v>253</v>
      </c>
      <c r="N136" s="4">
        <v>0.72</v>
      </c>
      <c r="O136" s="8">
        <f>Table1[[#This Row],[PT MARGIN]]/Table1[[#This Row],[G]]</f>
        <v>-4.790909090909091</v>
      </c>
      <c r="S136" s="50"/>
    </row>
    <row r="137" spans="1:19" hidden="1" x14ac:dyDescent="0.2">
      <c r="A137" s="1">
        <v>338</v>
      </c>
      <c r="B137" s="2" t="s">
        <v>246</v>
      </c>
      <c r="C137" s="2" t="str">
        <f>IF(COUNTIF($X$3:$X$20,B137)&gt;0,$X$2,
 IF(COUNTIF($Y$3:$Y$20,B137)&gt;0,$Y$2,
 IF(COUNTIF($Z$3:$Z$20,B137)&gt;0,$Z$2,
 IF(COUNTIF($AA$3:$AA$20,B137)&gt;0,$AA$2,
 IF(COUNTIF($AB$3:$AB$20,B137)&gt;0,$AB$2,
 IF(COUNTIF($AC$3:$AC$20,B137)&gt;0,$AC$2,
 IF(COUNTIF($AD$3:$AD$20,B137)&gt;0,$AD$2,
 "Not Found")))))))</f>
        <v>Not Found</v>
      </c>
      <c r="D137" s="2" t="s">
        <v>10</v>
      </c>
      <c r="E137" s="2" t="s">
        <v>11</v>
      </c>
      <c r="F137" s="2">
        <v>145</v>
      </c>
      <c r="G137" s="4">
        <v>0.221</v>
      </c>
      <c r="H137" s="2">
        <v>-1535</v>
      </c>
      <c r="I137" s="2">
        <v>94.1</v>
      </c>
      <c r="J137" s="2">
        <v>108.8</v>
      </c>
      <c r="K137" s="4">
        <v>0.501</v>
      </c>
      <c r="L137" s="4">
        <v>0.57299999999999995</v>
      </c>
      <c r="M137" s="2">
        <v>190</v>
      </c>
      <c r="N137" s="4">
        <v>0.7</v>
      </c>
      <c r="O137" s="8">
        <f>Table1[[#This Row],[PT MARGIN]]/Table1[[#This Row],[G]]</f>
        <v>-10.586206896551724</v>
      </c>
      <c r="S137" s="50"/>
    </row>
    <row r="138" spans="1:19" hidden="1" x14ac:dyDescent="0.2">
      <c r="A138" s="1">
        <v>80</v>
      </c>
      <c r="B138" s="2" t="s">
        <v>91</v>
      </c>
      <c r="C138" s="2" t="str">
        <f>IF(COUNTIF($X$3:$X$20,B138)&gt;0,$X$2,
 IF(COUNTIF($Y$3:$Y$20,B138)&gt;0,$Y$2,
 IF(COUNTIF($Z$3:$Z$20,B138)&gt;0,$Z$2,
 IF(COUNTIF($AA$3:$AA$20,B138)&gt;0,$AA$2,
 IF(COUNTIF($AB$3:$AB$20,B138)&gt;0,$AB$2,
 IF(COUNTIF($AC$3:$AC$20,B138)&gt;0,$AC$2,
 IF(COUNTIF($AD$3:$AD$20,B138)&gt;0,$AD$2,
 "Not Found")))))))</f>
        <v>Not Found</v>
      </c>
      <c r="D138" s="2" t="s">
        <v>10</v>
      </c>
      <c r="E138" s="2" t="s">
        <v>11</v>
      </c>
      <c r="F138" s="2">
        <v>129</v>
      </c>
      <c r="G138" s="4">
        <v>0.48799999999999999</v>
      </c>
      <c r="H138" s="2">
        <v>-222</v>
      </c>
      <c r="I138" s="2">
        <v>99.8</v>
      </c>
      <c r="J138" s="2">
        <v>102.2</v>
      </c>
      <c r="K138" s="4">
        <v>0.51300000000000001</v>
      </c>
      <c r="L138" s="4">
        <v>0.54300000000000004</v>
      </c>
      <c r="M138" s="2">
        <v>252</v>
      </c>
      <c r="N138" s="4">
        <v>0.72399999999999998</v>
      </c>
      <c r="O138" s="8">
        <f>Table1[[#This Row],[PT MARGIN]]/Table1[[#This Row],[G]]</f>
        <v>-1.7209302325581395</v>
      </c>
      <c r="S138" s="50"/>
    </row>
    <row r="139" spans="1:19" x14ac:dyDescent="0.2">
      <c r="A139" s="1">
        <v>24</v>
      </c>
      <c r="B139" s="2" t="s">
        <v>34</v>
      </c>
      <c r="C139" s="2" t="str">
        <f>IF(COUNTIF($X$3:$X$20,B139)&gt;0,$X$2,
 IF(COUNTIF($Y$3:$Y$20,B139)&gt;0,$Y$2,
 IF(COUNTIF($Z$3:$Z$20,B139)&gt;0,$Z$2,
 IF(COUNTIF($AA$3:$AA$20,B139)&gt;0,$AA$2,
 IF(COUNTIF($AB$3:$AB$20,B139)&gt;0,$AB$2,
 IF(COUNTIF($AC$3:$AC$20,B139)&gt;0,$AC$2,
 IF(COUNTIF($AD$3:$AD$20,B139)&gt;0,$AD$2,
 "Not Found")))))))</f>
        <v>SEC</v>
      </c>
      <c r="D139" s="2" t="s">
        <v>10</v>
      </c>
      <c r="E139" s="2" t="s">
        <v>11</v>
      </c>
      <c r="F139" s="2">
        <v>103</v>
      </c>
      <c r="G139" s="4">
        <v>0.56299999999999994</v>
      </c>
      <c r="H139" s="2">
        <v>169</v>
      </c>
      <c r="I139" s="2">
        <v>105.1</v>
      </c>
      <c r="J139" s="2">
        <v>102.8</v>
      </c>
      <c r="K139" s="4">
        <v>0.54200000000000004</v>
      </c>
      <c r="L139" s="4">
        <v>0.51900000000000002</v>
      </c>
      <c r="M139" s="2">
        <v>167</v>
      </c>
      <c r="N139" s="4">
        <v>0.70199999999999996</v>
      </c>
      <c r="O139" s="8">
        <f>Table1[[#This Row],[PT MARGIN]]/Table1[[#This Row],[G]]</f>
        <v>1.6407766990291262</v>
      </c>
      <c r="S139" s="50"/>
    </row>
    <row r="140" spans="1:19" hidden="1" x14ac:dyDescent="0.2">
      <c r="A140" s="1">
        <v>285</v>
      </c>
      <c r="B140" s="2" t="s">
        <v>299</v>
      </c>
      <c r="C140" s="2" t="str">
        <f>IF(COUNTIF($X$3:$X$20,B140)&gt;0,$X$2,
 IF(COUNTIF($Y$3:$Y$20,B140)&gt;0,$Y$2,
 IF(COUNTIF($Z$3:$Z$20,B140)&gt;0,$Z$2,
 IF(COUNTIF($AA$3:$AA$20,B140)&gt;0,$AA$2,
 IF(COUNTIF($AB$3:$AB$20,B140)&gt;0,$AB$2,
 IF(COUNTIF($AC$3:$AC$20,B140)&gt;0,$AC$2,
 IF(COUNTIF($AD$3:$AD$20,B140)&gt;0,$AD$2,
 "Not Found")))))))</f>
        <v>Not Found</v>
      </c>
      <c r="D140" s="2" t="s">
        <v>10</v>
      </c>
      <c r="E140" s="2" t="s">
        <v>11</v>
      </c>
      <c r="F140" s="2">
        <v>124</v>
      </c>
      <c r="G140" s="4">
        <v>0.23400000000000001</v>
      </c>
      <c r="H140" s="2">
        <v>-1076</v>
      </c>
      <c r="I140" s="2">
        <v>94.9</v>
      </c>
      <c r="J140" s="2">
        <v>107</v>
      </c>
      <c r="K140" s="4">
        <v>0.504</v>
      </c>
      <c r="L140" s="4">
        <v>0.56100000000000005</v>
      </c>
      <c r="M140" s="2">
        <v>421</v>
      </c>
      <c r="N140" s="4">
        <v>0.71299999999999997</v>
      </c>
      <c r="O140" s="8">
        <f>Table1[[#This Row],[PT MARGIN]]/Table1[[#This Row],[G]]</f>
        <v>-8.67741935483871</v>
      </c>
      <c r="S140" s="50"/>
    </row>
    <row r="141" spans="1:19" hidden="1" x14ac:dyDescent="0.2">
      <c r="A141" s="1">
        <v>276</v>
      </c>
      <c r="B141" s="2" t="s">
        <v>308</v>
      </c>
      <c r="C141" s="2" t="str">
        <f>IF(COUNTIF($X$3:$X$20,B141)&gt;0,$X$2,
 IF(COUNTIF($Y$3:$Y$20,B141)&gt;0,$Y$2,
 IF(COUNTIF($Z$3:$Z$20,B141)&gt;0,$Z$2,
 IF(COUNTIF($AA$3:$AA$20,B141)&gt;0,$AA$2,
 IF(COUNTIF($AB$3:$AB$20,B141)&gt;0,$AB$2,
 IF(COUNTIF($AC$3:$AC$20,B141)&gt;0,$AC$2,
 IF(COUNTIF($AD$3:$AD$20,B141)&gt;0,$AD$2,
 "Not Found")))))))</f>
        <v>Not Found</v>
      </c>
      <c r="D141" s="2" t="s">
        <v>10</v>
      </c>
      <c r="E141" s="2" t="s">
        <v>11</v>
      </c>
      <c r="F141" s="2">
        <v>146</v>
      </c>
      <c r="G141" s="4">
        <v>0.29499999999999998</v>
      </c>
      <c r="H141" s="2">
        <v>-1017</v>
      </c>
      <c r="I141" s="2">
        <v>96.3</v>
      </c>
      <c r="J141" s="2">
        <v>106.4</v>
      </c>
      <c r="K141" s="4">
        <v>0.52300000000000002</v>
      </c>
      <c r="L141" s="4">
        <v>0.54700000000000004</v>
      </c>
      <c r="M141" s="2">
        <v>121</v>
      </c>
      <c r="N141" s="4">
        <v>0.70499999999999996</v>
      </c>
      <c r="O141" s="8">
        <f>Table1[[#This Row],[PT MARGIN]]/Table1[[#This Row],[G]]</f>
        <v>-6.9657534246575343</v>
      </c>
      <c r="S141" s="50"/>
    </row>
    <row r="142" spans="1:19" hidden="1" x14ac:dyDescent="0.2">
      <c r="A142" s="1">
        <v>275</v>
      </c>
      <c r="B142" s="2" t="s">
        <v>309</v>
      </c>
      <c r="C142" s="2" t="str">
        <f>IF(COUNTIF($X$3:$X$20,B142)&gt;0,$X$2,
 IF(COUNTIF($Y$3:$Y$20,B142)&gt;0,$Y$2,
 IF(COUNTIF($Z$3:$Z$20,B142)&gt;0,$Z$2,
 IF(COUNTIF($AA$3:$AA$20,B142)&gt;0,$AA$2,
 IF(COUNTIF($AB$3:$AB$20,B142)&gt;0,$AB$2,
 IF(COUNTIF($AC$3:$AC$20,B142)&gt;0,$AC$2,
 IF(COUNTIF($AD$3:$AD$20,B142)&gt;0,$AD$2,
 "Not Found")))))))</f>
        <v>Not Found</v>
      </c>
      <c r="D142" s="2" t="s">
        <v>10</v>
      </c>
      <c r="E142" s="2" t="s">
        <v>11</v>
      </c>
      <c r="F142" s="2">
        <v>152</v>
      </c>
      <c r="G142" s="4">
        <v>0.32200000000000001</v>
      </c>
      <c r="H142" s="2">
        <v>-1009</v>
      </c>
      <c r="I142" s="2">
        <v>95.9</v>
      </c>
      <c r="J142" s="2">
        <v>105.2</v>
      </c>
      <c r="K142" s="4">
        <v>0.50600000000000001</v>
      </c>
      <c r="L142" s="4">
        <v>0.55700000000000005</v>
      </c>
      <c r="M142" s="2">
        <v>228</v>
      </c>
      <c r="N142" s="4">
        <v>0.70399999999999996</v>
      </c>
      <c r="O142" s="8">
        <f>Table1[[#This Row],[PT MARGIN]]/Table1[[#This Row],[G]]</f>
        <v>-6.6381578947368425</v>
      </c>
      <c r="S142" s="50"/>
    </row>
    <row r="143" spans="1:19" hidden="1" x14ac:dyDescent="0.2">
      <c r="A143" s="1">
        <v>116</v>
      </c>
      <c r="B143" s="2" t="s">
        <v>131</v>
      </c>
      <c r="C143" s="2" t="str">
        <f>IF(COUNTIF($X$3:$X$20,B143)&gt;0,$X$2,
 IF(COUNTIF($Y$3:$Y$20,B143)&gt;0,$Y$2,
 IF(COUNTIF($Z$3:$Z$20,B143)&gt;0,$Z$2,
 IF(COUNTIF($AA$3:$AA$20,B143)&gt;0,$AA$2,
 IF(COUNTIF($AB$3:$AB$20,B143)&gt;0,$AB$2,
 IF(COUNTIF($AC$3:$AC$20,B143)&gt;0,$AC$2,
 IF(COUNTIF($AD$3:$AD$20,B143)&gt;0,$AD$2,
 "Not Found")))))))</f>
        <v>Not Found</v>
      </c>
      <c r="D143" s="2" t="s">
        <v>132</v>
      </c>
      <c r="E143" s="2" t="s">
        <v>11</v>
      </c>
      <c r="F143" s="2">
        <v>35</v>
      </c>
      <c r="G143" s="4">
        <v>0.2</v>
      </c>
      <c r="H143" s="2">
        <v>-357</v>
      </c>
      <c r="I143" s="2">
        <v>99</v>
      </c>
      <c r="J143" s="2">
        <v>113.6</v>
      </c>
      <c r="K143" s="4">
        <v>0.53900000000000003</v>
      </c>
      <c r="L143" s="4">
        <v>0.58199999999999996</v>
      </c>
      <c r="M143" s="2">
        <v>84</v>
      </c>
      <c r="N143" s="4">
        <v>0.70299999999999996</v>
      </c>
      <c r="O143" s="8">
        <f>Table1[[#This Row],[PT MARGIN]]/Table1[[#This Row],[G]]</f>
        <v>-10.199999999999999</v>
      </c>
      <c r="S143" s="50"/>
    </row>
    <row r="144" spans="1:19" hidden="1" x14ac:dyDescent="0.2">
      <c r="A144" s="1">
        <v>192</v>
      </c>
      <c r="B144" s="2" t="s">
        <v>208</v>
      </c>
      <c r="C144" s="2" t="str">
        <f>IF(COUNTIF($X$3:$X$20,B144)&gt;0,$X$2,
 IF(COUNTIF($Y$3:$Y$20,B144)&gt;0,$Y$2,
 IF(COUNTIF($Z$3:$Z$20,B144)&gt;0,$Z$2,
 IF(COUNTIF($AA$3:$AA$20,B144)&gt;0,$AA$2,
 IF(COUNTIF($AB$3:$AB$20,B144)&gt;0,$AB$2,
 IF(COUNTIF($AC$3:$AC$20,B144)&gt;0,$AC$2,
 IF(COUNTIF($AD$3:$AD$20,B144)&gt;0,$AD$2,
 "Not Found")))))))</f>
        <v>Not Found</v>
      </c>
      <c r="D144" s="2" t="s">
        <v>10</v>
      </c>
      <c r="E144" s="2" t="s">
        <v>11</v>
      </c>
      <c r="F144" s="2">
        <v>150</v>
      </c>
      <c r="G144" s="4">
        <v>0.373</v>
      </c>
      <c r="H144" s="2">
        <v>-625</v>
      </c>
      <c r="I144" s="2">
        <v>98.9</v>
      </c>
      <c r="J144" s="2">
        <v>104.8</v>
      </c>
      <c r="K144" s="4">
        <v>0.53800000000000003</v>
      </c>
      <c r="L144" s="4">
        <v>0.54800000000000004</v>
      </c>
      <c r="M144" s="2">
        <v>256</v>
      </c>
      <c r="N144" s="4">
        <v>0.71699999999999997</v>
      </c>
      <c r="O144" s="8">
        <f>Table1[[#This Row],[PT MARGIN]]/Table1[[#This Row],[G]]</f>
        <v>-4.166666666666667</v>
      </c>
      <c r="S144" s="50"/>
    </row>
    <row r="145" spans="1:19" hidden="1" x14ac:dyDescent="0.2">
      <c r="A145" s="1">
        <v>16</v>
      </c>
      <c r="B145" s="2" t="s">
        <v>26</v>
      </c>
      <c r="C145" s="2" t="str">
        <f>IF(COUNTIF($X$3:$X$20,B145)&gt;0,$X$2,
 IF(COUNTIF($Y$3:$Y$20,B145)&gt;0,$Y$2,
 IF(COUNTIF($Z$3:$Z$20,B145)&gt;0,$Z$2,
 IF(COUNTIF($AA$3:$AA$20,B145)&gt;0,$AA$2,
 IF(COUNTIF($AB$3:$AB$20,B145)&gt;0,$AB$2,
 IF(COUNTIF($AC$3:$AC$20,B145)&gt;0,$AC$2,
 IF(COUNTIF($AD$3:$AD$20,B145)&gt;0,$AD$2,
 "Not Found")))))))</f>
        <v>Not Found</v>
      </c>
      <c r="D145" s="2" t="s">
        <v>10</v>
      </c>
      <c r="E145" s="2" t="s">
        <v>11</v>
      </c>
      <c r="F145" s="2">
        <v>112</v>
      </c>
      <c r="G145" s="4">
        <v>0.56299999999999994</v>
      </c>
      <c r="H145" s="2">
        <v>241</v>
      </c>
      <c r="I145" s="2">
        <v>104.5</v>
      </c>
      <c r="J145" s="2">
        <v>101.3</v>
      </c>
      <c r="K145" s="4">
        <v>0.57099999999999995</v>
      </c>
      <c r="L145" s="4">
        <v>0.54100000000000004</v>
      </c>
      <c r="M145" s="2">
        <v>178</v>
      </c>
      <c r="N145" s="4">
        <v>0.71499999999999997</v>
      </c>
      <c r="O145" s="8">
        <f>Table1[[#This Row],[PT MARGIN]]/Table1[[#This Row],[G]]</f>
        <v>2.1517857142857144</v>
      </c>
      <c r="S145" s="50"/>
    </row>
    <row r="146" spans="1:19" hidden="1" x14ac:dyDescent="0.2">
      <c r="A146" s="1">
        <v>196</v>
      </c>
      <c r="B146" s="2" t="s">
        <v>212</v>
      </c>
      <c r="C146" s="2" t="str">
        <f>IF(COUNTIF($X$3:$X$20,B146)&gt;0,$X$2,
 IF(COUNTIF($Y$3:$Y$20,B146)&gt;0,$Y$2,
 IF(COUNTIF($Z$3:$Z$20,B146)&gt;0,$Z$2,
 IF(COUNTIF($AA$3:$AA$20,B146)&gt;0,$AA$2,
 IF(COUNTIF($AB$3:$AB$20,B146)&gt;0,$AB$2,
 IF(COUNTIF($AC$3:$AC$20,B146)&gt;0,$AC$2,
 IF(COUNTIF($AD$3:$AD$20,B146)&gt;0,$AD$2,
 "Not Found")))))))</f>
        <v>Not Found</v>
      </c>
      <c r="D146" s="2" t="s">
        <v>113</v>
      </c>
      <c r="E146" s="2" t="s">
        <v>11</v>
      </c>
      <c r="F146" s="2">
        <v>46</v>
      </c>
      <c r="G146" s="4">
        <v>0.17399999999999999</v>
      </c>
      <c r="H146" s="2">
        <v>-634</v>
      </c>
      <c r="I146" s="2">
        <v>88.6</v>
      </c>
      <c r="J146" s="2">
        <v>108.1</v>
      </c>
      <c r="K146" s="4">
        <v>0.47699999999999998</v>
      </c>
      <c r="L146" s="4">
        <v>0.56999999999999995</v>
      </c>
      <c r="M146" s="2">
        <v>14</v>
      </c>
      <c r="N146" s="4">
        <v>0.71399999999999997</v>
      </c>
      <c r="O146" s="8">
        <f>Table1[[#This Row],[PT MARGIN]]/Table1[[#This Row],[G]]</f>
        <v>-13.782608695652174</v>
      </c>
      <c r="S146" s="50"/>
    </row>
    <row r="147" spans="1:19" hidden="1" x14ac:dyDescent="0.2">
      <c r="A147" s="1">
        <v>74</v>
      </c>
      <c r="B147" s="2" t="s">
        <v>85</v>
      </c>
      <c r="C147" s="2" t="str">
        <f>IF(COUNTIF($X$3:$X$20,B147)&gt;0,$X$2,
 IF(COUNTIF($Y$3:$Y$20,B147)&gt;0,$Y$2,
 IF(COUNTIF($Z$3:$Z$20,B147)&gt;0,$Z$2,
 IF(COUNTIF($AA$3:$AA$20,B147)&gt;0,$AA$2,
 IF(COUNTIF($AB$3:$AB$20,B147)&gt;0,$AB$2,
 IF(COUNTIF($AC$3:$AC$20,B147)&gt;0,$AC$2,
 IF(COUNTIF($AD$3:$AD$20,B147)&gt;0,$AD$2,
 "Not Found")))))))</f>
        <v>Not Found</v>
      </c>
      <c r="D147" s="2" t="s">
        <v>10</v>
      </c>
      <c r="E147" s="2" t="s">
        <v>11</v>
      </c>
      <c r="F147" s="2">
        <v>148</v>
      </c>
      <c r="G147" s="4">
        <v>0.45900000000000002</v>
      </c>
      <c r="H147" s="2">
        <v>-180</v>
      </c>
      <c r="I147" s="2">
        <v>101.9</v>
      </c>
      <c r="J147" s="2">
        <v>103.6</v>
      </c>
      <c r="K147" s="4">
        <v>0.55600000000000005</v>
      </c>
      <c r="L147" s="4">
        <v>0.54500000000000004</v>
      </c>
      <c r="M147" s="2">
        <v>-66</v>
      </c>
      <c r="N147" s="4">
        <v>0.70799999999999996</v>
      </c>
      <c r="O147" s="8">
        <f>Table1[[#This Row],[PT MARGIN]]/Table1[[#This Row],[G]]</f>
        <v>-1.2162162162162162</v>
      </c>
      <c r="S147" s="50"/>
    </row>
    <row r="148" spans="1:19" hidden="1" x14ac:dyDescent="0.2">
      <c r="A148" s="1">
        <v>221</v>
      </c>
      <c r="B148" s="2" t="s">
        <v>363</v>
      </c>
      <c r="C148" s="2" t="str">
        <f>IF(COUNTIF($X$3:$X$20,B148)&gt;0,$X$2,
 IF(COUNTIF($Y$3:$Y$20,B148)&gt;0,$Y$2,
 IF(COUNTIF($Z$3:$Z$20,B148)&gt;0,$Z$2,
 IF(COUNTIF($AA$3:$AA$20,B148)&gt;0,$AA$2,
 IF(COUNTIF($AB$3:$AB$20,B148)&gt;0,$AB$2,
 IF(COUNTIF($AC$3:$AC$20,B148)&gt;0,$AC$2,
 IF(COUNTIF($AD$3:$AD$20,B148)&gt;0,$AD$2,
 "Not Found")))))))</f>
        <v>Not Found</v>
      </c>
      <c r="D148" s="2" t="s">
        <v>10</v>
      </c>
      <c r="E148" s="2" t="s">
        <v>11</v>
      </c>
      <c r="F148" s="2">
        <v>143</v>
      </c>
      <c r="G148" s="4">
        <v>0.34300000000000003</v>
      </c>
      <c r="H148" s="2">
        <v>-735</v>
      </c>
      <c r="I148" s="2">
        <v>96.8</v>
      </c>
      <c r="J148" s="2">
        <v>104.2</v>
      </c>
      <c r="K148" s="4">
        <v>0.52600000000000002</v>
      </c>
      <c r="L148" s="4">
        <v>0.54900000000000004</v>
      </c>
      <c r="M148" s="2">
        <v>304</v>
      </c>
      <c r="N148" s="4">
        <v>0.7</v>
      </c>
      <c r="O148" s="8">
        <f>Table1[[#This Row],[PT MARGIN]]/Table1[[#This Row],[G]]</f>
        <v>-5.13986013986014</v>
      </c>
      <c r="S148" s="50"/>
    </row>
    <row r="149" spans="1:19" hidden="1" x14ac:dyDescent="0.2">
      <c r="A149" s="1">
        <v>264</v>
      </c>
      <c r="B149" s="2" t="s">
        <v>320</v>
      </c>
      <c r="C149" s="2" t="str">
        <f>IF(COUNTIF($X$3:$X$20,B149)&gt;0,$X$2,
 IF(COUNTIF($Y$3:$Y$20,B149)&gt;0,$Y$2,
 IF(COUNTIF($Z$3:$Z$20,B149)&gt;0,$Z$2,
 IF(COUNTIF($AA$3:$AA$20,B149)&gt;0,$AA$2,
 IF(COUNTIF($AB$3:$AB$20,B149)&gt;0,$AB$2,
 IF(COUNTIF($AC$3:$AC$20,B149)&gt;0,$AC$2,
 IF(COUNTIF($AD$3:$AD$20,B149)&gt;0,$AD$2,
 "Not Found")))))))</f>
        <v>Not Found</v>
      </c>
      <c r="D149" s="2" t="s">
        <v>10</v>
      </c>
      <c r="E149" s="2" t="s">
        <v>11</v>
      </c>
      <c r="F149" s="2">
        <v>147</v>
      </c>
      <c r="G149" s="4">
        <v>0.32700000000000001</v>
      </c>
      <c r="H149" s="2">
        <v>-967</v>
      </c>
      <c r="I149" s="2">
        <v>96</v>
      </c>
      <c r="J149" s="2">
        <v>105</v>
      </c>
      <c r="K149" s="4">
        <v>0.51700000000000002</v>
      </c>
      <c r="L149" s="4">
        <v>0.54700000000000004</v>
      </c>
      <c r="M149" s="2">
        <v>126</v>
      </c>
      <c r="N149" s="4">
        <v>0.71199999999999997</v>
      </c>
      <c r="O149" s="8">
        <f>Table1[[#This Row],[PT MARGIN]]/Table1[[#This Row],[G]]</f>
        <v>-6.5782312925170068</v>
      </c>
      <c r="S149" s="50"/>
    </row>
    <row r="150" spans="1:19" hidden="1" x14ac:dyDescent="0.2">
      <c r="A150" s="1">
        <v>282</v>
      </c>
      <c r="B150" s="2" t="s">
        <v>302</v>
      </c>
      <c r="C150" s="2" t="str">
        <f>IF(COUNTIF($X$3:$X$20,B150)&gt;0,$X$2,
 IF(COUNTIF($Y$3:$Y$20,B150)&gt;0,$Y$2,
 IF(COUNTIF($Z$3:$Z$20,B150)&gt;0,$Z$2,
 IF(COUNTIF($AA$3:$AA$20,B150)&gt;0,$AA$2,
 IF(COUNTIF($AB$3:$AB$20,B150)&gt;0,$AB$2,
 IF(COUNTIF($AC$3:$AC$20,B150)&gt;0,$AC$2,
 IF(COUNTIF($AD$3:$AD$20,B150)&gt;0,$AD$2,
 "Not Found")))))))</f>
        <v>Not Found</v>
      </c>
      <c r="D150" s="2" t="s">
        <v>10</v>
      </c>
      <c r="E150" s="2" t="s">
        <v>11</v>
      </c>
      <c r="F150" s="2">
        <v>147</v>
      </c>
      <c r="G150" s="4">
        <v>0.32</v>
      </c>
      <c r="H150" s="2">
        <v>-1048</v>
      </c>
      <c r="I150" s="2">
        <v>98.3</v>
      </c>
      <c r="J150" s="2">
        <v>107.9</v>
      </c>
      <c r="K150" s="4">
        <v>0.52800000000000002</v>
      </c>
      <c r="L150" s="4">
        <v>0.56499999999999995</v>
      </c>
      <c r="M150" s="2">
        <v>-37</v>
      </c>
      <c r="N150" s="4">
        <v>0.72499999999999998</v>
      </c>
      <c r="O150" s="8">
        <f>Table1[[#This Row],[PT MARGIN]]/Table1[[#This Row],[G]]</f>
        <v>-7.129251700680272</v>
      </c>
      <c r="S150" s="50"/>
    </row>
    <row r="151" spans="1:19" hidden="1" x14ac:dyDescent="0.2">
      <c r="A151" s="1">
        <v>260</v>
      </c>
      <c r="B151" s="2" t="s">
        <v>324</v>
      </c>
      <c r="C151" s="2" t="str">
        <f>IF(COUNTIF($X$3:$X$20,B151)&gt;0,$X$2,
 IF(COUNTIF($Y$3:$Y$20,B151)&gt;0,$Y$2,
 IF(COUNTIF($Z$3:$Z$20,B151)&gt;0,$Z$2,
 IF(COUNTIF($AA$3:$AA$20,B151)&gt;0,$AA$2,
 IF(COUNTIF($AB$3:$AB$20,B151)&gt;0,$AB$2,
 IF(COUNTIF($AC$3:$AC$20,B151)&gt;0,$AC$2,
 IF(COUNTIF($AD$3:$AD$20,B151)&gt;0,$AD$2,
 "Not Found")))))))</f>
        <v>Not Found</v>
      </c>
      <c r="D151" s="2" t="s">
        <v>10</v>
      </c>
      <c r="E151" s="2" t="s">
        <v>11</v>
      </c>
      <c r="F151" s="2">
        <v>145</v>
      </c>
      <c r="G151" s="4">
        <v>0.31</v>
      </c>
      <c r="H151" s="2">
        <v>-942</v>
      </c>
      <c r="I151" s="2">
        <v>95.3</v>
      </c>
      <c r="J151" s="2">
        <v>104.6</v>
      </c>
      <c r="K151" s="4">
        <v>0.51800000000000002</v>
      </c>
      <c r="L151" s="4">
        <v>0.55900000000000005</v>
      </c>
      <c r="M151" s="2">
        <v>95</v>
      </c>
      <c r="N151" s="4">
        <v>0.71199999999999997</v>
      </c>
      <c r="O151" s="8">
        <f>Table1[[#This Row],[PT MARGIN]]/Table1[[#This Row],[G]]</f>
        <v>-6.4965517241379311</v>
      </c>
      <c r="S151" s="50"/>
    </row>
    <row r="152" spans="1:19" hidden="1" x14ac:dyDescent="0.2">
      <c r="A152" s="1">
        <v>109</v>
      </c>
      <c r="B152" s="2" t="s">
        <v>124</v>
      </c>
      <c r="C152" s="2" t="str">
        <f>IF(COUNTIF($X$3:$X$20,B152)&gt;0,$X$2,
 IF(COUNTIF($Y$3:$Y$20,B152)&gt;0,$Y$2,
 IF(COUNTIF($Z$3:$Z$20,B152)&gt;0,$Z$2,
 IF(COUNTIF($AA$3:$AA$20,B152)&gt;0,$AA$2,
 IF(COUNTIF($AB$3:$AB$20,B152)&gt;0,$AB$2,
 IF(COUNTIF($AC$3:$AC$20,B152)&gt;0,$AC$2,
 IF(COUNTIF($AD$3:$AD$20,B152)&gt;0,$AD$2,
 "Not Found")))))))</f>
        <v>Not Found</v>
      </c>
      <c r="D152" s="2" t="s">
        <v>10</v>
      </c>
      <c r="E152" s="2" t="s">
        <v>11</v>
      </c>
      <c r="F152" s="2">
        <v>134</v>
      </c>
      <c r="G152" s="4">
        <v>0.46300000000000002</v>
      </c>
      <c r="H152" s="2">
        <v>-350</v>
      </c>
      <c r="I152" s="2">
        <v>101</v>
      </c>
      <c r="J152" s="2">
        <v>104.6</v>
      </c>
      <c r="K152" s="4">
        <v>0.52100000000000002</v>
      </c>
      <c r="L152" s="4">
        <v>0.55000000000000004</v>
      </c>
      <c r="M152" s="2">
        <v>75</v>
      </c>
      <c r="N152" s="4">
        <v>0.71899999999999997</v>
      </c>
      <c r="O152" s="8">
        <f>Table1[[#This Row],[PT MARGIN]]/Table1[[#This Row],[G]]</f>
        <v>-2.6119402985074629</v>
      </c>
      <c r="S152" s="50"/>
    </row>
    <row r="153" spans="1:19" x14ac:dyDescent="0.2">
      <c r="A153" s="1">
        <v>177</v>
      </c>
      <c r="B153" s="2" t="s">
        <v>193</v>
      </c>
      <c r="C153" s="2" t="str">
        <f>IF(COUNTIF($X$3:$X$20,B153)&gt;0,$X$2,
 IF(COUNTIF($Y$3:$Y$20,B153)&gt;0,$Y$2,
 IF(COUNTIF($Z$3:$Z$20,B153)&gt;0,$Z$2,
 IF(COUNTIF($AA$3:$AA$20,B153)&gt;0,$AA$2,
 IF(COUNTIF($AB$3:$AB$20,B153)&gt;0,$AB$2,
 IF(COUNTIF($AC$3:$AC$20,B153)&gt;0,$AC$2,
 IF(COUNTIF($AD$3:$AD$20,B153)&gt;0,$AD$2,
 "Not Found")))))))</f>
        <v>SEC</v>
      </c>
      <c r="D153" s="2" t="s">
        <v>10</v>
      </c>
      <c r="E153" s="2" t="s">
        <v>11</v>
      </c>
      <c r="F153" s="2">
        <v>103</v>
      </c>
      <c r="G153" s="4">
        <v>0.32</v>
      </c>
      <c r="H153" s="2">
        <v>-586</v>
      </c>
      <c r="I153" s="2">
        <v>100.6</v>
      </c>
      <c r="J153" s="2">
        <v>108.4</v>
      </c>
      <c r="K153" s="4">
        <v>0.52500000000000002</v>
      </c>
      <c r="L153" s="4">
        <v>0.56000000000000005</v>
      </c>
      <c r="M153" s="2">
        <v>242</v>
      </c>
      <c r="N153" s="4">
        <v>0.70099999999999996</v>
      </c>
      <c r="O153" s="8">
        <f>Table1[[#This Row],[PT MARGIN]]/Table1[[#This Row],[G]]</f>
        <v>-5.6893203883495147</v>
      </c>
      <c r="S153" s="50"/>
    </row>
    <row r="154" spans="1:19" hidden="1" x14ac:dyDescent="0.2">
      <c r="A154" s="1">
        <v>56</v>
      </c>
      <c r="B154" s="2" t="s">
        <v>66</v>
      </c>
      <c r="C154" s="2" t="str">
        <f>IF(COUNTIF($X$3:$X$20,B154)&gt;0,$X$2,
 IF(COUNTIF($Y$3:$Y$20,B154)&gt;0,$Y$2,
 IF(COUNTIF($Z$3:$Z$20,B154)&gt;0,$Z$2,
 IF(COUNTIF($AA$3:$AA$20,B154)&gt;0,$AA$2,
 IF(COUNTIF($AB$3:$AB$20,B154)&gt;0,$AB$2,
 IF(COUNTIF($AC$3:$AC$20,B154)&gt;0,$AC$2,
 IF(COUNTIF($AD$3:$AD$20,B154)&gt;0,$AD$2,
 "Not Found")))))))</f>
        <v>Not Found</v>
      </c>
      <c r="D154" s="2" t="s">
        <v>10</v>
      </c>
      <c r="E154" s="2" t="s">
        <v>11</v>
      </c>
      <c r="F154" s="2">
        <v>132</v>
      </c>
      <c r="G154" s="4">
        <v>0.42399999999999999</v>
      </c>
      <c r="H154" s="2">
        <v>-61</v>
      </c>
      <c r="I154" s="2">
        <v>101.2</v>
      </c>
      <c r="J154" s="2">
        <v>101.8</v>
      </c>
      <c r="K154" s="4">
        <v>0.53500000000000003</v>
      </c>
      <c r="L154" s="4">
        <v>0.54300000000000004</v>
      </c>
      <c r="M154" s="2">
        <v>92</v>
      </c>
      <c r="N154" s="4">
        <v>0.71</v>
      </c>
      <c r="O154" s="8">
        <f>Table1[[#This Row],[PT MARGIN]]/Table1[[#This Row],[G]]</f>
        <v>-0.4621212121212121</v>
      </c>
      <c r="S154" s="50"/>
    </row>
    <row r="155" spans="1:19" hidden="1" x14ac:dyDescent="0.2">
      <c r="A155" s="1">
        <v>325</v>
      </c>
      <c r="B155" s="2" t="s">
        <v>259</v>
      </c>
      <c r="C155" s="2" t="str">
        <f>IF(COUNTIF($X$3:$X$20,B155)&gt;0,$X$2,
 IF(COUNTIF($Y$3:$Y$20,B155)&gt;0,$Y$2,
 IF(COUNTIF($Z$3:$Z$20,B155)&gt;0,$Z$2,
 IF(COUNTIF($AA$3:$AA$20,B155)&gt;0,$AA$2,
 IF(COUNTIF($AB$3:$AB$20,B155)&gt;0,$AB$2,
 IF(COUNTIF($AC$3:$AC$20,B155)&gt;0,$AC$2,
 IF(COUNTIF($AD$3:$AD$20,B155)&gt;0,$AD$2,
 "Not Found")))))))</f>
        <v>Not Found</v>
      </c>
      <c r="D155" s="2" t="s">
        <v>10</v>
      </c>
      <c r="E155" s="2" t="s">
        <v>11</v>
      </c>
      <c r="F155" s="2">
        <v>143</v>
      </c>
      <c r="G155" s="4">
        <v>0.23100000000000001</v>
      </c>
      <c r="H155" s="2">
        <v>-1413</v>
      </c>
      <c r="I155" s="2">
        <v>93.2</v>
      </c>
      <c r="J155" s="2">
        <v>107.5</v>
      </c>
      <c r="K155" s="4">
        <v>0.49199999999999999</v>
      </c>
      <c r="L155" s="4">
        <v>0.54800000000000004</v>
      </c>
      <c r="M155" s="2">
        <v>177</v>
      </c>
      <c r="N155" s="4">
        <v>0.71499999999999997</v>
      </c>
      <c r="O155" s="8">
        <f>Table1[[#This Row],[PT MARGIN]]/Table1[[#This Row],[G]]</f>
        <v>-9.8811188811188817</v>
      </c>
      <c r="S155" s="50"/>
    </row>
    <row r="156" spans="1:19" x14ac:dyDescent="0.2">
      <c r="A156" s="1">
        <v>98</v>
      </c>
      <c r="B156" s="2" t="s">
        <v>111</v>
      </c>
      <c r="C156" s="2" t="str">
        <f>IF(COUNTIF($X$3:$X$20,B156)&gt;0,$X$2,
 IF(COUNTIF($Y$3:$Y$20,B156)&gt;0,$Y$2,
 IF(COUNTIF($Z$3:$Z$20,B156)&gt;0,$Z$2,
 IF(COUNTIF($AA$3:$AA$20,B156)&gt;0,$AA$2,
 IF(COUNTIF($AB$3:$AB$20,B156)&gt;0,$AB$2,
 IF(COUNTIF($AC$3:$AC$20,B156)&gt;0,$AC$2,
 IF(COUNTIF($AD$3:$AD$20,B156)&gt;0,$AD$2,
 "Not Found")))))))</f>
        <v>ACC</v>
      </c>
      <c r="D156" s="2" t="s">
        <v>10</v>
      </c>
      <c r="E156" s="2" t="s">
        <v>11</v>
      </c>
      <c r="F156" s="2">
        <v>107</v>
      </c>
      <c r="G156" s="4">
        <v>0.374</v>
      </c>
      <c r="H156" s="2">
        <v>-310</v>
      </c>
      <c r="I156" s="2">
        <v>101.2</v>
      </c>
      <c r="J156" s="2">
        <v>105.4</v>
      </c>
      <c r="K156" s="4">
        <v>0.52900000000000003</v>
      </c>
      <c r="L156" s="4">
        <v>0.54900000000000004</v>
      </c>
      <c r="M156" s="2">
        <v>267</v>
      </c>
      <c r="N156" s="4">
        <v>0.72799999999999998</v>
      </c>
      <c r="O156" s="8">
        <f>Table1[[#This Row],[PT MARGIN]]/Table1[[#This Row],[G]]</f>
        <v>-2.8971962616822431</v>
      </c>
      <c r="S156" s="50"/>
    </row>
    <row r="157" spans="1:19" hidden="1" x14ac:dyDescent="0.2">
      <c r="A157" s="1">
        <v>295</v>
      </c>
      <c r="B157" s="2" t="s">
        <v>289</v>
      </c>
      <c r="C157" s="2" t="str">
        <f>IF(COUNTIF($X$3:$X$20,B157)&gt;0,$X$2,
 IF(COUNTIF($Y$3:$Y$20,B157)&gt;0,$Y$2,
 IF(COUNTIF($Z$3:$Z$20,B157)&gt;0,$Z$2,
 IF(COUNTIF($AA$3:$AA$20,B157)&gt;0,$AA$2,
 IF(COUNTIF($AB$3:$AB$20,B157)&gt;0,$AB$2,
 IF(COUNTIF($AC$3:$AC$20,B157)&gt;0,$AC$2,
 IF(COUNTIF($AD$3:$AD$20,B157)&gt;0,$AD$2,
 "Not Found")))))))</f>
        <v>Not Found</v>
      </c>
      <c r="D157" s="2" t="s">
        <v>10</v>
      </c>
      <c r="E157" s="2" t="s">
        <v>11</v>
      </c>
      <c r="F157" s="2">
        <v>152</v>
      </c>
      <c r="G157" s="4">
        <v>0.23</v>
      </c>
      <c r="H157" s="2">
        <v>-1128</v>
      </c>
      <c r="I157" s="2">
        <v>96.9</v>
      </c>
      <c r="J157" s="2">
        <v>107.5</v>
      </c>
      <c r="K157" s="4">
        <v>0.51600000000000001</v>
      </c>
      <c r="L157" s="4">
        <v>0.57099999999999995</v>
      </c>
      <c r="M157" s="2">
        <v>104</v>
      </c>
      <c r="N157" s="4">
        <v>0.72699999999999998</v>
      </c>
      <c r="O157" s="8">
        <f>Table1[[#This Row],[PT MARGIN]]/Table1[[#This Row],[G]]</f>
        <v>-7.4210526315789478</v>
      </c>
      <c r="S157" s="50"/>
    </row>
    <row r="158" spans="1:19" hidden="1" x14ac:dyDescent="0.2">
      <c r="A158" s="1">
        <v>52</v>
      </c>
      <c r="B158" s="2" t="s">
        <v>62</v>
      </c>
      <c r="C158" s="2" t="str">
        <f>IF(COUNTIF($X$3:$X$20,B158)&gt;0,$X$2,
 IF(COUNTIF($Y$3:$Y$20,B158)&gt;0,$Y$2,
 IF(COUNTIF($Z$3:$Z$20,B158)&gt;0,$Z$2,
 IF(COUNTIF($AA$3:$AA$20,B158)&gt;0,$AA$2,
 IF(COUNTIF($AB$3:$AB$20,B158)&gt;0,$AB$2,
 IF(COUNTIF($AC$3:$AC$20,B158)&gt;0,$AC$2,
 IF(COUNTIF($AD$3:$AD$20,B158)&gt;0,$AD$2,
 "Not Found")))))))</f>
        <v>Not Found</v>
      </c>
      <c r="D158" s="2" t="s">
        <v>10</v>
      </c>
      <c r="E158" s="2" t="s">
        <v>11</v>
      </c>
      <c r="F158" s="2">
        <v>112</v>
      </c>
      <c r="G158" s="4">
        <v>0.50900000000000001</v>
      </c>
      <c r="H158" s="2">
        <v>-45</v>
      </c>
      <c r="I158" s="2">
        <v>99.2</v>
      </c>
      <c r="J158" s="2">
        <v>99.8</v>
      </c>
      <c r="K158" s="4">
        <v>0.54900000000000004</v>
      </c>
      <c r="L158" s="4">
        <v>0.54100000000000004</v>
      </c>
      <c r="M158" s="2">
        <v>173</v>
      </c>
      <c r="N158" s="4">
        <v>0.71799999999999997</v>
      </c>
      <c r="O158" s="8">
        <f>Table1[[#This Row],[PT MARGIN]]/Table1[[#This Row],[G]]</f>
        <v>-0.4017857142857143</v>
      </c>
      <c r="S158" s="50"/>
    </row>
    <row r="159" spans="1:19" hidden="1" x14ac:dyDescent="0.2">
      <c r="A159" s="1">
        <v>212</v>
      </c>
      <c r="B159" s="2" t="s">
        <v>372</v>
      </c>
      <c r="C159" s="2" t="str">
        <f>IF(COUNTIF($X$3:$X$20,B159)&gt;0,$X$2,
 IF(COUNTIF($Y$3:$Y$20,B159)&gt;0,$Y$2,
 IF(COUNTIF($Z$3:$Z$20,B159)&gt;0,$Z$2,
 IF(COUNTIF($AA$3:$AA$20,B159)&gt;0,$AA$2,
 IF(COUNTIF($AB$3:$AB$20,B159)&gt;0,$AB$2,
 IF(COUNTIF($AC$3:$AC$20,B159)&gt;0,$AC$2,
 IF(COUNTIF($AD$3:$AD$20,B159)&gt;0,$AD$2,
 "Not Found")))))))</f>
        <v>Not Found</v>
      </c>
      <c r="D159" s="2" t="s">
        <v>10</v>
      </c>
      <c r="E159" s="2" t="s">
        <v>11</v>
      </c>
      <c r="F159" s="2">
        <v>119</v>
      </c>
      <c r="G159" s="4">
        <v>0.32800000000000001</v>
      </c>
      <c r="H159" s="2">
        <v>-708</v>
      </c>
      <c r="I159" s="2">
        <v>98.1</v>
      </c>
      <c r="J159" s="2">
        <v>106.9</v>
      </c>
      <c r="K159" s="4">
        <v>0.51800000000000002</v>
      </c>
      <c r="L159" s="4">
        <v>0.56799999999999995</v>
      </c>
      <c r="M159" s="2">
        <v>213</v>
      </c>
      <c r="N159" s="4">
        <v>0.73099999999999998</v>
      </c>
      <c r="O159" s="8">
        <f>Table1[[#This Row],[PT MARGIN]]/Table1[[#This Row],[G]]</f>
        <v>-5.9495798319327733</v>
      </c>
      <c r="S159" s="50"/>
    </row>
    <row r="160" spans="1:19" hidden="1" x14ac:dyDescent="0.2">
      <c r="A160" s="1">
        <v>350</v>
      </c>
      <c r="B160" s="2" t="s">
        <v>234</v>
      </c>
      <c r="C160" s="2" t="str">
        <f>IF(COUNTIF($X$3:$X$20,B160)&gt;0,$X$2,
 IF(COUNTIF($Y$3:$Y$20,B160)&gt;0,$Y$2,
 IF(COUNTIF($Z$3:$Z$20,B160)&gt;0,$Z$2,
 IF(COUNTIF($AA$3:$AA$20,B160)&gt;0,$AA$2,
 IF(COUNTIF($AB$3:$AB$20,B160)&gt;0,$AB$2,
 IF(COUNTIF($AC$3:$AC$20,B160)&gt;0,$AC$2,
 IF(COUNTIF($AD$3:$AD$20,B160)&gt;0,$AD$2,
 "Not Found")))))))</f>
        <v>Not Found</v>
      </c>
      <c r="D160" s="2" t="s">
        <v>10</v>
      </c>
      <c r="E160" s="2" t="s">
        <v>11</v>
      </c>
      <c r="F160" s="2">
        <v>157</v>
      </c>
      <c r="G160" s="4">
        <v>0.20399999999999999</v>
      </c>
      <c r="H160" s="2">
        <v>-1746</v>
      </c>
      <c r="I160" s="2">
        <v>90.5</v>
      </c>
      <c r="J160" s="2">
        <v>106.5</v>
      </c>
      <c r="K160" s="4">
        <v>0.497</v>
      </c>
      <c r="L160" s="4">
        <v>0.56200000000000006</v>
      </c>
      <c r="M160" s="2">
        <v>438</v>
      </c>
      <c r="N160" s="4">
        <v>0.71399999999999997</v>
      </c>
      <c r="O160" s="8">
        <f>Table1[[#This Row],[PT MARGIN]]/Table1[[#This Row],[G]]</f>
        <v>-11.121019108280255</v>
      </c>
      <c r="S160" s="50"/>
    </row>
    <row r="161" spans="1:19" hidden="1" x14ac:dyDescent="0.2">
      <c r="A161" s="1">
        <v>288</v>
      </c>
      <c r="B161" s="2" t="s">
        <v>296</v>
      </c>
      <c r="C161" s="2" t="str">
        <f>IF(COUNTIF($X$3:$X$20,B161)&gt;0,$X$2,
 IF(COUNTIF($Y$3:$Y$20,B161)&gt;0,$Y$2,
 IF(COUNTIF($Z$3:$Z$20,B161)&gt;0,$Z$2,
 IF(COUNTIF($AA$3:$AA$20,B161)&gt;0,$AA$2,
 IF(COUNTIF($AB$3:$AB$20,B161)&gt;0,$AB$2,
 IF(COUNTIF($AC$3:$AC$20,B161)&gt;0,$AC$2,
 IF(COUNTIF($AD$3:$AD$20,B161)&gt;0,$AD$2,
 "Not Found")))))))</f>
        <v>Not Found</v>
      </c>
      <c r="D161" s="2" t="s">
        <v>10</v>
      </c>
      <c r="E161" s="2" t="s">
        <v>11</v>
      </c>
      <c r="F161" s="2">
        <v>141</v>
      </c>
      <c r="G161" s="4">
        <v>0.32600000000000001</v>
      </c>
      <c r="H161" s="2">
        <v>-1090</v>
      </c>
      <c r="I161" s="2">
        <v>93.5</v>
      </c>
      <c r="J161" s="2">
        <v>104.5</v>
      </c>
      <c r="K161" s="4">
        <v>0.51100000000000001</v>
      </c>
      <c r="L161" s="4">
        <v>0.55800000000000005</v>
      </c>
      <c r="M161" s="2">
        <v>166</v>
      </c>
      <c r="N161" s="4">
        <v>0.70699999999999996</v>
      </c>
      <c r="O161" s="8">
        <f>Table1[[#This Row],[PT MARGIN]]/Table1[[#This Row],[G]]</f>
        <v>-7.7304964539007095</v>
      </c>
      <c r="S161" s="50"/>
    </row>
    <row r="162" spans="1:19" hidden="1" x14ac:dyDescent="0.2">
      <c r="A162" s="1">
        <v>217</v>
      </c>
      <c r="B162" s="2" t="s">
        <v>367</v>
      </c>
      <c r="C162" s="2" t="str">
        <f>IF(COUNTIF($X$3:$X$20,B162)&gt;0,$X$2,
 IF(COUNTIF($Y$3:$Y$20,B162)&gt;0,$Y$2,
 IF(COUNTIF($Z$3:$Z$20,B162)&gt;0,$Z$2,
 IF(COUNTIF($AA$3:$AA$20,B162)&gt;0,$AA$2,
 IF(COUNTIF($AB$3:$AB$20,B162)&gt;0,$AB$2,
 IF(COUNTIF($AC$3:$AC$20,B162)&gt;0,$AC$2,
 IF(COUNTIF($AD$3:$AD$20,B162)&gt;0,$AD$2,
 "Not Found")))))))</f>
        <v>Not Found</v>
      </c>
      <c r="D162" s="2" t="s">
        <v>10</v>
      </c>
      <c r="E162" s="2" t="s">
        <v>11</v>
      </c>
      <c r="F162" s="2">
        <v>144</v>
      </c>
      <c r="G162" s="4">
        <v>0.34</v>
      </c>
      <c r="H162" s="2">
        <v>-721</v>
      </c>
      <c r="I162" s="2">
        <v>95.9</v>
      </c>
      <c r="J162" s="2">
        <v>103.2</v>
      </c>
      <c r="K162" s="4">
        <v>0.52300000000000002</v>
      </c>
      <c r="L162" s="4">
        <v>0.54</v>
      </c>
      <c r="M162" s="2">
        <v>128</v>
      </c>
      <c r="N162" s="4">
        <v>0.71399999999999997</v>
      </c>
      <c r="O162" s="8">
        <f>Table1[[#This Row],[PT MARGIN]]/Table1[[#This Row],[G]]</f>
        <v>-5.0069444444444446</v>
      </c>
      <c r="S162" s="50"/>
    </row>
    <row r="163" spans="1:19" x14ac:dyDescent="0.2">
      <c r="A163" s="1">
        <v>57</v>
      </c>
      <c r="B163" s="2" t="s">
        <v>67</v>
      </c>
      <c r="C163" s="2" t="str">
        <f>IF(COUNTIF($X$3:$X$20,B163)&gt;0,$X$2,
 IF(COUNTIF($Y$3:$Y$20,B163)&gt;0,$Y$2,
 IF(COUNTIF($Z$3:$Z$20,B163)&gt;0,$Z$2,
 IF(COUNTIF($AA$3:$AA$20,B163)&gt;0,$AA$2,
 IF(COUNTIF($AB$3:$AB$20,B163)&gt;0,$AB$2,
 IF(COUNTIF($AC$3:$AC$20,B163)&gt;0,$AC$2,
 IF(COUNTIF($AD$3:$AD$20,B163)&gt;0,$AD$2,
 "Not Found")))))))</f>
        <v>Big East</v>
      </c>
      <c r="D163" s="2" t="s">
        <v>10</v>
      </c>
      <c r="E163" s="2" t="s">
        <v>11</v>
      </c>
      <c r="F163" s="2">
        <v>111</v>
      </c>
      <c r="G163" s="4">
        <v>0.495</v>
      </c>
      <c r="H163" s="2">
        <v>-74</v>
      </c>
      <c r="I163" s="2">
        <v>106.4</v>
      </c>
      <c r="J163" s="2">
        <v>107.4</v>
      </c>
      <c r="K163" s="4">
        <v>0.56499999999999995</v>
      </c>
      <c r="L163" s="4">
        <v>0.55600000000000005</v>
      </c>
      <c r="M163" s="2">
        <v>316</v>
      </c>
      <c r="N163" s="4">
        <v>0.72799999999999998</v>
      </c>
      <c r="O163" s="8">
        <f>Table1[[#This Row],[PT MARGIN]]/Table1[[#This Row],[G]]</f>
        <v>-0.66666666666666663</v>
      </c>
      <c r="S163" s="50"/>
    </row>
    <row r="164" spans="1:19" hidden="1" x14ac:dyDescent="0.2">
      <c r="A164" s="1">
        <v>162</v>
      </c>
      <c r="B164" s="2" t="s">
        <v>178</v>
      </c>
      <c r="C164" s="2" t="str">
        <f>IF(COUNTIF($X$3:$X$20,B164)&gt;0,$X$2,
 IF(COUNTIF($Y$3:$Y$20,B164)&gt;0,$Y$2,
 IF(COUNTIF($Z$3:$Z$20,B164)&gt;0,$Z$2,
 IF(COUNTIF($AA$3:$AA$20,B164)&gt;0,$AA$2,
 IF(COUNTIF($AB$3:$AB$20,B164)&gt;0,$AB$2,
 IF(COUNTIF($AC$3:$AC$20,B164)&gt;0,$AC$2,
 IF(COUNTIF($AD$3:$AD$20,B164)&gt;0,$AD$2,
 "Not Found")))))))</f>
        <v>Not Found</v>
      </c>
      <c r="D164" s="2" t="s">
        <v>10</v>
      </c>
      <c r="E164" s="2" t="s">
        <v>11</v>
      </c>
      <c r="F164" s="2">
        <v>136</v>
      </c>
      <c r="G164" s="4">
        <v>0.38200000000000001</v>
      </c>
      <c r="H164" s="2">
        <v>-533</v>
      </c>
      <c r="I164" s="2">
        <v>101</v>
      </c>
      <c r="J164" s="2">
        <v>106.1</v>
      </c>
      <c r="K164" s="4">
        <v>0.53400000000000003</v>
      </c>
      <c r="L164" s="4">
        <v>0.54500000000000004</v>
      </c>
      <c r="M164" s="2">
        <v>325</v>
      </c>
      <c r="N164" s="4">
        <v>0.70599999999999996</v>
      </c>
      <c r="O164" s="8">
        <f>Table1[[#This Row],[PT MARGIN]]/Table1[[#This Row],[G]]</f>
        <v>-3.9191176470588234</v>
      </c>
      <c r="S164" s="46"/>
    </row>
    <row r="165" spans="1:19" x14ac:dyDescent="0.2">
      <c r="A165" s="1">
        <v>69</v>
      </c>
      <c r="B165" s="2" t="s">
        <v>80</v>
      </c>
      <c r="C165" s="2" t="str">
        <f>IF(COUNTIF($X$3:$X$20,B165)&gt;0,$X$2,
 IF(COUNTIF($Y$3:$Y$20,B165)&gt;0,$Y$2,
 IF(COUNTIF($Z$3:$Z$20,B165)&gt;0,$Z$2,
 IF(COUNTIF($AA$3:$AA$20,B165)&gt;0,$AA$2,
 IF(COUNTIF($AB$3:$AB$20,B165)&gt;0,$AB$2,
 IF(COUNTIF($AC$3:$AC$20,B165)&gt;0,$AC$2,
 IF(COUNTIF($AD$3:$AD$20,B165)&gt;0,$AD$2,
 "Not Found")))))))</f>
        <v>Big 10</v>
      </c>
      <c r="D165" s="2" t="s">
        <v>10</v>
      </c>
      <c r="E165" s="2" t="s">
        <v>11</v>
      </c>
      <c r="F165" s="2">
        <v>105</v>
      </c>
      <c r="G165" s="4">
        <v>0.41</v>
      </c>
      <c r="H165" s="2">
        <v>-146</v>
      </c>
      <c r="I165" s="2">
        <v>100.6</v>
      </c>
      <c r="J165" s="2">
        <v>102.6</v>
      </c>
      <c r="K165" s="4">
        <v>0.53100000000000003</v>
      </c>
      <c r="L165" s="4">
        <v>0.52600000000000002</v>
      </c>
      <c r="M165" s="2">
        <v>106</v>
      </c>
      <c r="N165" s="4">
        <v>0.72099999999999997</v>
      </c>
      <c r="O165" s="8">
        <f>Table1[[#This Row],[PT MARGIN]]/Table1[[#This Row],[G]]</f>
        <v>-1.3904761904761904</v>
      </c>
      <c r="S165" s="46"/>
    </row>
    <row r="166" spans="1:19" hidden="1" x14ac:dyDescent="0.2">
      <c r="A166" s="1">
        <v>362</v>
      </c>
      <c r="B166" s="2" t="s">
        <v>222</v>
      </c>
      <c r="C166" s="2" t="str">
        <f>IF(COUNTIF($X$3:$X$20,B166)&gt;0,$X$2,
 IF(COUNTIF($Y$3:$Y$20,B166)&gt;0,$Y$2,
 IF(COUNTIF($Z$3:$Z$20,B166)&gt;0,$Z$2,
 IF(COUNTIF($AA$3:$AA$20,B166)&gt;0,$AA$2,
 IF(COUNTIF($AB$3:$AB$20,B166)&gt;0,$AB$2,
 IF(COUNTIF($AC$3:$AC$20,B166)&gt;0,$AC$2,
 IF(COUNTIF($AD$3:$AD$20,B166)&gt;0,$AD$2,
 "Not Found")))))))</f>
        <v>Not Found</v>
      </c>
      <c r="D166" s="2" t="s">
        <v>10</v>
      </c>
      <c r="E166" s="2" t="s">
        <v>11</v>
      </c>
      <c r="F166" s="2">
        <v>161</v>
      </c>
      <c r="G166" s="4">
        <v>0.14899999999999999</v>
      </c>
      <c r="H166" s="2">
        <v>-2558</v>
      </c>
      <c r="I166" s="2">
        <v>87</v>
      </c>
      <c r="J166" s="2">
        <v>110</v>
      </c>
      <c r="K166" s="4">
        <v>0.47099999999999997</v>
      </c>
      <c r="L166" s="4">
        <v>0.57299999999999995</v>
      </c>
      <c r="M166" s="2">
        <v>526</v>
      </c>
      <c r="N166" s="4">
        <v>0.70499999999999996</v>
      </c>
      <c r="O166" s="8">
        <f>Table1[[#This Row],[PT MARGIN]]/Table1[[#This Row],[G]]</f>
        <v>-15.888198757763975</v>
      </c>
    </row>
    <row r="167" spans="1:19" hidden="1" x14ac:dyDescent="0.2">
      <c r="A167" s="1">
        <v>215</v>
      </c>
      <c r="B167" s="2" t="s">
        <v>369</v>
      </c>
      <c r="C167" s="2" t="str">
        <f>IF(COUNTIF($X$3:$X$20,B167)&gt;0,$X$2,
 IF(COUNTIF($Y$3:$Y$20,B167)&gt;0,$Y$2,
 IF(COUNTIF($Z$3:$Z$20,B167)&gt;0,$Z$2,
 IF(COUNTIF($AA$3:$AA$20,B167)&gt;0,$AA$2,
 IF(COUNTIF($AB$3:$AB$20,B167)&gt;0,$AB$2,
 IF(COUNTIF($AC$3:$AC$20,B167)&gt;0,$AC$2,
 IF(COUNTIF($AD$3:$AD$20,B167)&gt;0,$AD$2,
 "Not Found")))))))</f>
        <v>Not Found</v>
      </c>
      <c r="D167" s="2" t="s">
        <v>10</v>
      </c>
      <c r="E167" s="2" t="s">
        <v>11</v>
      </c>
      <c r="F167" s="2">
        <v>110</v>
      </c>
      <c r="G167" s="4">
        <v>0.255</v>
      </c>
      <c r="H167" s="2">
        <v>-717</v>
      </c>
      <c r="I167" s="2">
        <v>97.4</v>
      </c>
      <c r="J167" s="2">
        <v>106.5</v>
      </c>
      <c r="K167" s="4">
        <v>0.50900000000000001</v>
      </c>
      <c r="L167" s="4">
        <v>0.55800000000000005</v>
      </c>
      <c r="M167" s="2">
        <v>323</v>
      </c>
      <c r="N167" s="4">
        <v>0.72099999999999997</v>
      </c>
      <c r="O167" s="8">
        <f>Table1[[#This Row],[PT MARGIN]]/Table1[[#This Row],[G]]</f>
        <v>-6.5181818181818185</v>
      </c>
    </row>
    <row r="168" spans="1:19" hidden="1" x14ac:dyDescent="0.2">
      <c r="A168" s="1">
        <v>283</v>
      </c>
      <c r="B168" s="2" t="s">
        <v>301</v>
      </c>
      <c r="C168" s="2" t="str">
        <f>IF(COUNTIF($X$3:$X$20,B168)&gt;0,$X$2,
 IF(COUNTIF($Y$3:$Y$20,B168)&gt;0,$Y$2,
 IF(COUNTIF($Z$3:$Z$20,B168)&gt;0,$Z$2,
 IF(COUNTIF($AA$3:$AA$20,B168)&gt;0,$AA$2,
 IF(COUNTIF($AB$3:$AB$20,B168)&gt;0,$AB$2,
 IF(COUNTIF($AC$3:$AC$20,B168)&gt;0,$AC$2,
 IF(COUNTIF($AD$3:$AD$20,B168)&gt;0,$AD$2,
 "Not Found")))))))</f>
        <v>Not Found</v>
      </c>
      <c r="D168" s="2" t="s">
        <v>10</v>
      </c>
      <c r="E168" s="2" t="s">
        <v>11</v>
      </c>
      <c r="F168" s="2">
        <v>147</v>
      </c>
      <c r="G168" s="4">
        <v>0.30599999999999999</v>
      </c>
      <c r="H168" s="2">
        <v>-1056</v>
      </c>
      <c r="I168" s="2">
        <v>97.4</v>
      </c>
      <c r="J168" s="2">
        <v>107.4</v>
      </c>
      <c r="K168" s="4">
        <v>0.52200000000000002</v>
      </c>
      <c r="L168" s="4">
        <v>0.55400000000000005</v>
      </c>
      <c r="M168" s="2">
        <v>261</v>
      </c>
      <c r="N168" s="4">
        <v>0.70199999999999996</v>
      </c>
      <c r="O168" s="8">
        <f>Table1[[#This Row],[PT MARGIN]]/Table1[[#This Row],[G]]</f>
        <v>-7.1836734693877551</v>
      </c>
    </row>
    <row r="169" spans="1:19" hidden="1" x14ac:dyDescent="0.2">
      <c r="A169" s="1">
        <v>45</v>
      </c>
      <c r="B169" s="2" t="s">
        <v>55</v>
      </c>
      <c r="C169" s="2" t="str">
        <f>IF(COUNTIF($X$3:$X$20,B169)&gt;0,$X$2,
 IF(COUNTIF($Y$3:$Y$20,B169)&gt;0,$Y$2,
 IF(COUNTIF($Z$3:$Z$20,B169)&gt;0,$Z$2,
 IF(COUNTIF($AA$3:$AA$20,B169)&gt;0,$AA$2,
 IF(COUNTIF($AB$3:$AB$20,B169)&gt;0,$AB$2,
 IF(COUNTIF($AC$3:$AC$20,B169)&gt;0,$AC$2,
 IF(COUNTIF($AD$3:$AD$20,B169)&gt;0,$AD$2,
 "Not Found")))))))</f>
        <v>Not Found</v>
      </c>
      <c r="D169" s="2" t="s">
        <v>10</v>
      </c>
      <c r="E169" s="2" t="s">
        <v>11</v>
      </c>
      <c r="F169" s="2">
        <v>108</v>
      </c>
      <c r="G169" s="4">
        <v>0.49099999999999999</v>
      </c>
      <c r="H169" s="2">
        <v>0</v>
      </c>
      <c r="I169" s="2">
        <v>102.2</v>
      </c>
      <c r="J169" s="2">
        <v>102.2</v>
      </c>
      <c r="K169" s="4">
        <v>0.54200000000000004</v>
      </c>
      <c r="L169" s="4">
        <v>0.53100000000000003</v>
      </c>
      <c r="M169" s="2">
        <v>199</v>
      </c>
      <c r="N169" s="4">
        <v>0.73399999999999999</v>
      </c>
      <c r="O169" s="8">
        <f>Table1[[#This Row],[PT MARGIN]]/Table1[[#This Row],[G]]</f>
        <v>0</v>
      </c>
    </row>
    <row r="170" spans="1:19" hidden="1" x14ac:dyDescent="0.2">
      <c r="A170" s="1">
        <v>155</v>
      </c>
      <c r="B170" s="2" t="s">
        <v>171</v>
      </c>
      <c r="C170" s="2" t="str">
        <f>IF(COUNTIF($X$3:$X$20,B170)&gt;0,$X$2,
 IF(COUNTIF($Y$3:$Y$20,B170)&gt;0,$Y$2,
 IF(COUNTIF($Z$3:$Z$20,B170)&gt;0,$Z$2,
 IF(COUNTIF($AA$3:$AA$20,B170)&gt;0,$AA$2,
 IF(COUNTIF($AB$3:$AB$20,B170)&gt;0,$AB$2,
 IF(COUNTIF($AC$3:$AC$20,B170)&gt;0,$AC$2,
 IF(COUNTIF($AD$3:$AD$20,B170)&gt;0,$AD$2,
 "Not Found")))))))</f>
        <v>Not Found</v>
      </c>
      <c r="D170" s="2" t="s">
        <v>10</v>
      </c>
      <c r="E170" s="2" t="s">
        <v>11</v>
      </c>
      <c r="F170" s="2">
        <v>138</v>
      </c>
      <c r="G170" s="4">
        <v>0.34799999999999998</v>
      </c>
      <c r="H170" s="2">
        <v>-511</v>
      </c>
      <c r="I170" s="2">
        <v>101.9</v>
      </c>
      <c r="J170" s="2">
        <v>107.2</v>
      </c>
      <c r="K170" s="4">
        <v>0.53900000000000003</v>
      </c>
      <c r="L170" s="4">
        <v>0.55400000000000005</v>
      </c>
      <c r="M170" s="2">
        <v>298</v>
      </c>
      <c r="N170" s="4">
        <v>0.71599999999999997</v>
      </c>
      <c r="O170" s="8">
        <f>Table1[[#This Row],[PT MARGIN]]/Table1[[#This Row],[G]]</f>
        <v>-3.7028985507246377</v>
      </c>
    </row>
    <row r="171" spans="1:19" hidden="1" x14ac:dyDescent="0.2">
      <c r="A171" s="1">
        <v>79</v>
      </c>
      <c r="B171" s="2" t="s">
        <v>90</v>
      </c>
      <c r="C171" s="2" t="str">
        <f>IF(COUNTIF($X$3:$X$20,B171)&gt;0,$X$2,
 IF(COUNTIF($Y$3:$Y$20,B171)&gt;0,$Y$2,
 IF(COUNTIF($Z$3:$Z$20,B171)&gt;0,$Z$2,
 IF(COUNTIF($AA$3:$AA$20,B171)&gt;0,$AA$2,
 IF(COUNTIF($AB$3:$AB$20,B171)&gt;0,$AB$2,
 IF(COUNTIF($AC$3:$AC$20,B171)&gt;0,$AC$2,
 IF(COUNTIF($AD$3:$AD$20,B171)&gt;0,$AD$2,
 "Not Found")))))))</f>
        <v>Not Found</v>
      </c>
      <c r="D171" s="2" t="s">
        <v>11</v>
      </c>
      <c r="E171" s="2" t="s">
        <v>11</v>
      </c>
      <c r="F171" s="2">
        <v>18</v>
      </c>
      <c r="G171" s="4">
        <v>0.222</v>
      </c>
      <c r="H171" s="2">
        <v>-213</v>
      </c>
      <c r="I171" s="2">
        <v>95.7</v>
      </c>
      <c r="J171" s="2">
        <v>113.8</v>
      </c>
      <c r="K171" s="4">
        <v>0.51500000000000001</v>
      </c>
      <c r="L171" s="4">
        <v>0.60299999999999998</v>
      </c>
      <c r="M171" s="2">
        <v>13</v>
      </c>
      <c r="N171" s="4">
        <v>0.71699999999999997</v>
      </c>
      <c r="O171" s="8">
        <f>Table1[[#This Row],[PT MARGIN]]/Table1[[#This Row],[G]]</f>
        <v>-11.833333333333334</v>
      </c>
    </row>
    <row r="172" spans="1:19" hidden="1" x14ac:dyDescent="0.2">
      <c r="A172" s="1">
        <v>93</v>
      </c>
      <c r="B172" s="2" t="s">
        <v>105</v>
      </c>
      <c r="C172" s="2" t="str">
        <f>IF(COUNTIF($X$3:$X$20,B172)&gt;0,$X$2,
 IF(COUNTIF($Y$3:$Y$20,B172)&gt;0,$Y$2,
 IF(COUNTIF($Z$3:$Z$20,B172)&gt;0,$Z$2,
 IF(COUNTIF($AA$3:$AA$20,B172)&gt;0,$AA$2,
 IF(COUNTIF($AB$3:$AB$20,B172)&gt;0,$AB$2,
 IF(COUNTIF($AC$3:$AC$20,B172)&gt;0,$AC$2,
 IF(COUNTIF($AD$3:$AD$20,B172)&gt;0,$AD$2,
 "Not Found")))))))</f>
        <v>Not Found</v>
      </c>
      <c r="D172" s="2" t="s">
        <v>106</v>
      </c>
      <c r="E172" s="2" t="s">
        <v>11</v>
      </c>
      <c r="F172" s="2">
        <v>91</v>
      </c>
      <c r="G172" s="4">
        <v>0.47299999999999998</v>
      </c>
      <c r="H172" s="2">
        <v>-285</v>
      </c>
      <c r="I172" s="2">
        <v>92.6</v>
      </c>
      <c r="J172" s="2">
        <v>97.2</v>
      </c>
      <c r="K172" s="4">
        <v>0.50900000000000001</v>
      </c>
      <c r="L172" s="4">
        <v>0.51900000000000002</v>
      </c>
      <c r="M172" s="2">
        <v>177</v>
      </c>
      <c r="N172" s="4">
        <v>0.70899999999999996</v>
      </c>
      <c r="O172" s="8">
        <f>Table1[[#This Row],[PT MARGIN]]/Table1[[#This Row],[G]]</f>
        <v>-3.1318681318681318</v>
      </c>
    </row>
    <row r="173" spans="1:19" x14ac:dyDescent="0.2">
      <c r="A173" s="1">
        <v>119</v>
      </c>
      <c r="B173" s="2" t="s">
        <v>135</v>
      </c>
      <c r="C173" s="2" t="str">
        <f>IF(COUNTIF($X$3:$X$20,B173)&gt;0,$X$2,
 IF(COUNTIF($Y$3:$Y$20,B173)&gt;0,$Y$2,
 IF(COUNTIF($Z$3:$Z$20,B173)&gt;0,$Z$2,
 IF(COUNTIF($AA$3:$AA$20,B173)&gt;0,$AA$2,
 IF(COUNTIF($AB$3:$AB$20,B173)&gt;0,$AB$2,
 IF(COUNTIF($AC$3:$AC$20,B173)&gt;0,$AC$2,
 IF(COUNTIF($AD$3:$AD$20,B173)&gt;0,$AD$2,
 "Not Found")))))))</f>
        <v>ACC</v>
      </c>
      <c r="D173" s="2" t="s">
        <v>10</v>
      </c>
      <c r="E173" s="2" t="s">
        <v>11</v>
      </c>
      <c r="F173" s="2">
        <v>108</v>
      </c>
      <c r="G173" s="4">
        <v>0.38900000000000001</v>
      </c>
      <c r="H173" s="2">
        <v>-376</v>
      </c>
      <c r="I173" s="2">
        <v>101.9</v>
      </c>
      <c r="J173" s="2">
        <v>106.9</v>
      </c>
      <c r="K173" s="4">
        <v>0.53400000000000003</v>
      </c>
      <c r="L173" s="4">
        <v>0.55700000000000005</v>
      </c>
      <c r="M173" s="2">
        <v>42</v>
      </c>
      <c r="N173" s="4">
        <v>0.72599999999999998</v>
      </c>
      <c r="O173" s="8">
        <f>Table1[[#This Row],[PT MARGIN]]/Table1[[#This Row],[G]]</f>
        <v>-3.4814814814814814</v>
      </c>
    </row>
    <row r="174" spans="1:19" hidden="1" x14ac:dyDescent="0.2">
      <c r="A174" s="1">
        <v>249</v>
      </c>
      <c r="B174" s="2" t="s">
        <v>335</v>
      </c>
      <c r="C174" s="2" t="str">
        <f>IF(COUNTIF($X$3:$X$20,B174)&gt;0,$X$2,
 IF(COUNTIF($Y$3:$Y$20,B174)&gt;0,$Y$2,
 IF(COUNTIF($Z$3:$Z$20,B174)&gt;0,$Z$2,
 IF(COUNTIF($AA$3:$AA$20,B174)&gt;0,$AA$2,
 IF(COUNTIF($AB$3:$AB$20,B174)&gt;0,$AB$2,
 IF(COUNTIF($AC$3:$AC$20,B174)&gt;0,$AC$2,
 IF(COUNTIF($AD$3:$AD$20,B174)&gt;0,$AD$2,
 "Not Found")))))))</f>
        <v>Not Found</v>
      </c>
      <c r="D174" s="2" t="s">
        <v>10</v>
      </c>
      <c r="E174" s="2" t="s">
        <v>11</v>
      </c>
      <c r="F174" s="2">
        <v>133</v>
      </c>
      <c r="G174" s="4">
        <v>0.29299999999999998</v>
      </c>
      <c r="H174" s="2">
        <v>-891</v>
      </c>
      <c r="I174" s="2">
        <v>97.8</v>
      </c>
      <c r="J174" s="2">
        <v>107.4</v>
      </c>
      <c r="K174" s="4">
        <v>0.52100000000000002</v>
      </c>
      <c r="L174" s="4">
        <v>0.56200000000000006</v>
      </c>
      <c r="M174" s="2">
        <v>284</v>
      </c>
      <c r="N174" s="4">
        <v>0.747</v>
      </c>
      <c r="O174" s="8">
        <f>Table1[[#This Row],[PT MARGIN]]/Table1[[#This Row],[G]]</f>
        <v>-6.6992481203007515</v>
      </c>
    </row>
    <row r="175" spans="1:19" x14ac:dyDescent="0.2">
      <c r="A175" s="1">
        <v>75</v>
      </c>
      <c r="B175" s="2" t="s">
        <v>86</v>
      </c>
      <c r="C175" s="2" t="str">
        <f>IF(COUNTIF($X$3:$X$20,B175)&gt;0,$X$2,
 IF(COUNTIF($Y$3:$Y$20,B175)&gt;0,$Y$2,
 IF(COUNTIF($Z$3:$Z$20,B175)&gt;0,$Z$2,
 IF(COUNTIF($AA$3:$AA$20,B175)&gt;0,$AA$2,
 IF(COUNTIF($AB$3:$AB$20,B175)&gt;0,$AB$2,
 IF(COUNTIF($AC$3:$AC$20,B175)&gt;0,$AC$2,
 IF(COUNTIF($AD$3:$AD$20,B175)&gt;0,$AD$2,
 "Not Found")))))))</f>
        <v>Big 10</v>
      </c>
      <c r="D175" s="2" t="s">
        <v>10</v>
      </c>
      <c r="E175" s="2" t="s">
        <v>11</v>
      </c>
      <c r="F175" s="2">
        <v>106</v>
      </c>
      <c r="G175" s="4">
        <v>0.443</v>
      </c>
      <c r="H175" s="2">
        <v>-185</v>
      </c>
      <c r="I175" s="2">
        <v>103.3</v>
      </c>
      <c r="J175" s="2">
        <v>105.9</v>
      </c>
      <c r="K175" s="4">
        <v>0.53800000000000003</v>
      </c>
      <c r="L175" s="4">
        <v>0.54200000000000004</v>
      </c>
      <c r="M175" s="2">
        <v>105</v>
      </c>
      <c r="N175" s="4">
        <v>0.71599999999999997</v>
      </c>
      <c r="O175" s="8">
        <f>Table1[[#This Row],[PT MARGIN]]/Table1[[#This Row],[G]]</f>
        <v>-1.7452830188679245</v>
      </c>
    </row>
    <row r="176" spans="1:19" x14ac:dyDescent="0.2">
      <c r="A176" s="1">
        <v>32</v>
      </c>
      <c r="B176" s="2" t="s">
        <v>42</v>
      </c>
      <c r="C176" s="2" t="str">
        <f>IF(COUNTIF($X$3:$X$20,B176)&gt;0,$X$2,
 IF(COUNTIF($Y$3:$Y$20,B176)&gt;0,$Y$2,
 IF(COUNTIF($Z$3:$Z$20,B176)&gt;0,$Z$2,
 IF(COUNTIF($AA$3:$AA$20,B176)&gt;0,$AA$2,
 IF(COUNTIF($AB$3:$AB$20,B176)&gt;0,$AB$2,
 IF(COUNTIF($AC$3:$AC$20,B176)&gt;0,$AC$2,
 IF(COUNTIF($AD$3:$AD$20,B176)&gt;0,$AD$2,
 "Not Found")))))))</f>
        <v>Big 10</v>
      </c>
      <c r="D176" s="2" t="s">
        <v>10</v>
      </c>
      <c r="E176" s="2" t="s">
        <v>11</v>
      </c>
      <c r="F176" s="2">
        <v>105</v>
      </c>
      <c r="G176" s="4">
        <v>0.53300000000000003</v>
      </c>
      <c r="H176" s="2">
        <v>75</v>
      </c>
      <c r="I176" s="2">
        <v>104.5</v>
      </c>
      <c r="J176" s="2">
        <v>103.4</v>
      </c>
      <c r="K176" s="4">
        <v>0.54700000000000004</v>
      </c>
      <c r="L176" s="4">
        <v>0.52600000000000002</v>
      </c>
      <c r="M176" s="2">
        <v>173</v>
      </c>
      <c r="N176" s="4">
        <v>0.73899999999999999</v>
      </c>
      <c r="O176" s="8">
        <f>Table1[[#This Row],[PT MARGIN]]/Table1[[#This Row],[G]]</f>
        <v>0.7142857142857143</v>
      </c>
    </row>
    <row r="177" spans="1:15" hidden="1" x14ac:dyDescent="0.2">
      <c r="A177" s="1">
        <v>158</v>
      </c>
      <c r="B177" s="2" t="s">
        <v>174</v>
      </c>
      <c r="C177" s="2" t="str">
        <f>IF(COUNTIF($X$3:$X$20,B177)&gt;0,$X$2,
 IF(COUNTIF($Y$3:$Y$20,B177)&gt;0,$Y$2,
 IF(COUNTIF($Z$3:$Z$20,B177)&gt;0,$Z$2,
 IF(COUNTIF($AA$3:$AA$20,B177)&gt;0,$AA$2,
 IF(COUNTIF($AB$3:$AB$20,B177)&gt;0,$AB$2,
 IF(COUNTIF($AC$3:$AC$20,B177)&gt;0,$AC$2,
 IF(COUNTIF($AD$3:$AD$20,B177)&gt;0,$AD$2,
 "Not Found")))))))</f>
        <v>Not Found</v>
      </c>
      <c r="D177" s="2" t="s">
        <v>10</v>
      </c>
      <c r="E177" s="2" t="s">
        <v>11</v>
      </c>
      <c r="F177" s="2">
        <v>126</v>
      </c>
      <c r="G177" s="4">
        <v>0.42099999999999999</v>
      </c>
      <c r="H177" s="2">
        <v>-518</v>
      </c>
      <c r="I177" s="2">
        <v>98.4</v>
      </c>
      <c r="J177" s="2">
        <v>104.3</v>
      </c>
      <c r="K177" s="4">
        <v>0.52100000000000002</v>
      </c>
      <c r="L177" s="4">
        <v>0.55300000000000005</v>
      </c>
      <c r="M177" s="2">
        <v>391</v>
      </c>
      <c r="N177" s="4">
        <v>0.72399999999999998</v>
      </c>
      <c r="O177" s="8">
        <f>Table1[[#This Row],[PT MARGIN]]/Table1[[#This Row],[G]]</f>
        <v>-4.1111111111111107</v>
      </c>
    </row>
    <row r="178" spans="1:15" hidden="1" x14ac:dyDescent="0.2">
      <c r="A178" s="1">
        <v>190</v>
      </c>
      <c r="B178" s="2" t="s">
        <v>206</v>
      </c>
      <c r="C178" s="2" t="str">
        <f>IF(COUNTIF($X$3:$X$20,B178)&gt;0,$X$2,
 IF(COUNTIF($Y$3:$Y$20,B178)&gt;0,$Y$2,
 IF(COUNTIF($Z$3:$Z$20,B178)&gt;0,$Z$2,
 IF(COUNTIF($AA$3:$AA$20,B178)&gt;0,$AA$2,
 IF(COUNTIF($AB$3:$AB$20,B178)&gt;0,$AB$2,
 IF(COUNTIF($AC$3:$AC$20,B178)&gt;0,$AC$2,
 IF(COUNTIF($AD$3:$AD$20,B178)&gt;0,$AD$2,
 "Not Found")))))))</f>
        <v>Not Found</v>
      </c>
      <c r="D178" s="2" t="s">
        <v>10</v>
      </c>
      <c r="E178" s="2" t="s">
        <v>11</v>
      </c>
      <c r="F178" s="2">
        <v>137</v>
      </c>
      <c r="G178" s="4">
        <v>0.35799999999999998</v>
      </c>
      <c r="H178" s="2">
        <v>-623</v>
      </c>
      <c r="I178" s="2">
        <v>99</v>
      </c>
      <c r="J178" s="2">
        <v>105.5</v>
      </c>
      <c r="K178" s="4">
        <v>0.52500000000000002</v>
      </c>
      <c r="L178" s="4">
        <v>0.54400000000000004</v>
      </c>
      <c r="M178" s="2">
        <v>294</v>
      </c>
      <c r="N178" s="4">
        <v>0.71799999999999997</v>
      </c>
      <c r="O178" s="8">
        <f>Table1[[#This Row],[PT MARGIN]]/Table1[[#This Row],[G]]</f>
        <v>-4.5474452554744529</v>
      </c>
    </row>
    <row r="179" spans="1:15" x14ac:dyDescent="0.2">
      <c r="A179" s="1">
        <v>251</v>
      </c>
      <c r="B179" s="2" t="s">
        <v>333</v>
      </c>
      <c r="C179" s="2" t="str">
        <f>IF(COUNTIF($X$3:$X$20,B179)&gt;0,$X$2,
 IF(COUNTIF($Y$3:$Y$20,B179)&gt;0,$Y$2,
 IF(COUNTIF($Z$3:$Z$20,B179)&gt;0,$Z$2,
 IF(COUNTIF($AA$3:$AA$20,B179)&gt;0,$AA$2,
 IF(COUNTIF($AB$3:$AB$20,B179)&gt;0,$AB$2,
 IF(COUNTIF($AC$3:$AC$20,B179)&gt;0,$AC$2,
 IF(COUNTIF($AD$3:$AD$20,B179)&gt;0,$AD$2,
 "Not Found")))))))</f>
        <v>Big 10</v>
      </c>
      <c r="D179" s="2" t="s">
        <v>10</v>
      </c>
      <c r="E179" s="2" t="s">
        <v>11</v>
      </c>
      <c r="F179" s="2">
        <v>105</v>
      </c>
      <c r="G179" s="4">
        <v>0.21</v>
      </c>
      <c r="H179" s="2">
        <v>-894</v>
      </c>
      <c r="I179" s="2">
        <v>96</v>
      </c>
      <c r="J179" s="2">
        <v>108.4</v>
      </c>
      <c r="K179" s="4">
        <v>0.495</v>
      </c>
      <c r="L179" s="4">
        <v>0.55300000000000005</v>
      </c>
      <c r="M179" s="2">
        <v>133</v>
      </c>
      <c r="N179" s="4">
        <v>0.69599999999999995</v>
      </c>
      <c r="O179" s="8">
        <f>Table1[[#This Row],[PT MARGIN]]/Table1[[#This Row],[G]]</f>
        <v>-8.5142857142857142</v>
      </c>
    </row>
    <row r="180" spans="1:15" x14ac:dyDescent="0.2">
      <c r="A180" s="1">
        <v>130</v>
      </c>
      <c r="B180" s="2" t="s">
        <v>146</v>
      </c>
      <c r="C180" s="2" t="str">
        <f>IF(COUNTIF($X$3:$X$20,B180)&gt;0,$X$2,
 IF(COUNTIF($Y$3:$Y$20,B180)&gt;0,$Y$2,
 IF(COUNTIF($Z$3:$Z$20,B180)&gt;0,$Z$2,
 IF(COUNTIF($AA$3:$AA$20,B180)&gt;0,$AA$2,
 IF(COUNTIF($AB$3:$AB$20,B180)&gt;0,$AB$2,
 IF(COUNTIF($AC$3:$AC$20,B180)&gt;0,$AC$2,
 IF(COUNTIF($AD$3:$AD$20,B180)&gt;0,$AD$2,
 "Not Found")))))))</f>
        <v>SEC</v>
      </c>
      <c r="D180" s="2" t="s">
        <v>10</v>
      </c>
      <c r="E180" s="2" t="s">
        <v>11</v>
      </c>
      <c r="F180" s="2">
        <v>101</v>
      </c>
      <c r="G180" s="4">
        <v>0.32700000000000001</v>
      </c>
      <c r="H180" s="2">
        <v>-424</v>
      </c>
      <c r="I180" s="2">
        <v>98.4</v>
      </c>
      <c r="J180" s="2">
        <v>104.4</v>
      </c>
      <c r="K180" s="4">
        <v>0.51500000000000001</v>
      </c>
      <c r="L180" s="4">
        <v>0.54300000000000004</v>
      </c>
      <c r="M180" s="2">
        <v>265</v>
      </c>
      <c r="N180" s="4">
        <v>0.74099999999999999</v>
      </c>
      <c r="O180" s="8">
        <f>Table1[[#This Row],[PT MARGIN]]/Table1[[#This Row],[G]]</f>
        <v>-4.1980198019801982</v>
      </c>
    </row>
    <row r="181" spans="1:15" hidden="1" x14ac:dyDescent="0.2">
      <c r="A181" s="1">
        <v>367</v>
      </c>
      <c r="B181" s="2" t="s">
        <v>217</v>
      </c>
      <c r="C181" s="2" t="str">
        <f>IF(COUNTIF($X$3:$X$20,B181)&gt;0,$X$2,
 IF(COUNTIF($Y$3:$Y$20,B181)&gt;0,$Y$2,
 IF(COUNTIF($Z$3:$Z$20,B181)&gt;0,$Z$2,
 IF(COUNTIF($AA$3:$AA$20,B181)&gt;0,$AA$2,
 IF(COUNTIF($AB$3:$AB$20,B181)&gt;0,$AB$2,
 IF(COUNTIF($AC$3:$AC$20,B181)&gt;0,$AC$2,
 IF(COUNTIF($AD$3:$AD$20,B181)&gt;0,$AD$2,
 "Not Found")))))))</f>
        <v>Not Found</v>
      </c>
      <c r="D181" s="2" t="s">
        <v>10</v>
      </c>
      <c r="E181" s="2" t="s">
        <v>11</v>
      </c>
      <c r="F181" s="2">
        <v>201</v>
      </c>
      <c r="G181" s="4">
        <v>6.5000000000000002E-2</v>
      </c>
      <c r="H181" s="2">
        <v>-4809</v>
      </c>
      <c r="I181" s="2">
        <v>82.6</v>
      </c>
      <c r="J181" s="2">
        <v>115.5</v>
      </c>
      <c r="K181" s="4">
        <v>0.45200000000000001</v>
      </c>
      <c r="L181" s="4">
        <v>0.58899999999999997</v>
      </c>
      <c r="M181" s="2">
        <v>475</v>
      </c>
      <c r="N181" s="4">
        <v>0.69899999999999995</v>
      </c>
      <c r="O181" s="8">
        <f>Table1[[#This Row],[PT MARGIN]]/Table1[[#This Row],[G]]</f>
        <v>-23.925373134328357</v>
      </c>
    </row>
    <row r="182" spans="1:15" x14ac:dyDescent="0.2">
      <c r="A182" s="1">
        <v>238</v>
      </c>
      <c r="B182" s="2" t="s">
        <v>346</v>
      </c>
      <c r="C182" s="2" t="str">
        <f>IF(COUNTIF($X$3:$X$20,B182)&gt;0,$X$2,
 IF(COUNTIF($Y$3:$Y$20,B182)&gt;0,$Y$2,
 IF(COUNTIF($Z$3:$Z$20,B182)&gt;0,$Z$2,
 IF(COUNTIF($AA$3:$AA$20,B182)&gt;0,$AA$2,
 IF(COUNTIF($AB$3:$AB$20,B182)&gt;0,$AB$2,
 IF(COUNTIF($AC$3:$AC$20,B182)&gt;0,$AC$2,
 IF(COUNTIF($AD$3:$AD$20,B182)&gt;0,$AD$2,
 "Not Found")))))))</f>
        <v>SEC</v>
      </c>
      <c r="D182" s="2" t="s">
        <v>10</v>
      </c>
      <c r="E182" s="2" t="s">
        <v>11</v>
      </c>
      <c r="F182" s="2">
        <v>107</v>
      </c>
      <c r="G182" s="4">
        <v>0.252</v>
      </c>
      <c r="H182" s="2">
        <v>-823</v>
      </c>
      <c r="I182" s="2">
        <v>97.5</v>
      </c>
      <c r="J182" s="2">
        <v>108.6</v>
      </c>
      <c r="K182" s="4">
        <v>0.52100000000000002</v>
      </c>
      <c r="L182" s="4">
        <v>0.56100000000000005</v>
      </c>
      <c r="M182" s="2">
        <v>399</v>
      </c>
      <c r="N182" s="4">
        <v>0.72699999999999998</v>
      </c>
      <c r="O182" s="8">
        <f>Table1[[#This Row],[PT MARGIN]]/Table1[[#This Row],[G]]</f>
        <v>-7.6915887850467293</v>
      </c>
    </row>
    <row r="183" spans="1:15" hidden="1" x14ac:dyDescent="0.2">
      <c r="A183" s="1">
        <v>129</v>
      </c>
      <c r="B183" s="2" t="s">
        <v>145</v>
      </c>
      <c r="C183" s="2" t="str">
        <f>IF(COUNTIF($X$3:$X$20,B183)&gt;0,$X$2,
 IF(COUNTIF($Y$3:$Y$20,B183)&gt;0,$Y$2,
 IF(COUNTIF($Z$3:$Z$20,B183)&gt;0,$Z$2,
 IF(COUNTIF($AA$3:$AA$20,B183)&gt;0,$AA$2,
 IF(COUNTIF($AB$3:$AB$20,B183)&gt;0,$AB$2,
 IF(COUNTIF($AC$3:$AC$20,B183)&gt;0,$AC$2,
 IF(COUNTIF($AD$3:$AD$20,B183)&gt;0,$AD$2,
 "Not Found")))))))</f>
        <v>Not Found</v>
      </c>
      <c r="D183" s="2" t="s">
        <v>10</v>
      </c>
      <c r="E183" s="2" t="s">
        <v>11</v>
      </c>
      <c r="F183" s="2">
        <v>124</v>
      </c>
      <c r="G183" s="4">
        <v>0.36299999999999999</v>
      </c>
      <c r="H183" s="2">
        <v>-410</v>
      </c>
      <c r="I183" s="2">
        <v>100.1</v>
      </c>
      <c r="J183" s="2">
        <v>105</v>
      </c>
      <c r="K183" s="4">
        <v>0.53400000000000003</v>
      </c>
      <c r="L183" s="4">
        <v>0.55300000000000005</v>
      </c>
      <c r="M183" s="2">
        <v>308</v>
      </c>
      <c r="N183" s="4">
        <v>0.74399999999999999</v>
      </c>
      <c r="O183" s="8">
        <f>Table1[[#This Row],[PT MARGIN]]/Table1[[#This Row],[G]]</f>
        <v>-3.306451612903226</v>
      </c>
    </row>
    <row r="184" spans="1:15" hidden="1" x14ac:dyDescent="0.2">
      <c r="A184" s="1">
        <v>229</v>
      </c>
      <c r="B184" s="2" t="s">
        <v>355</v>
      </c>
      <c r="C184" s="2" t="str">
        <f>IF(COUNTIF($X$3:$X$20,B184)&gt;0,$X$2,
 IF(COUNTIF($Y$3:$Y$20,B184)&gt;0,$Y$2,
 IF(COUNTIF($Z$3:$Z$20,B184)&gt;0,$Z$2,
 IF(COUNTIF($AA$3:$AA$20,B184)&gt;0,$AA$2,
 IF(COUNTIF($AB$3:$AB$20,B184)&gt;0,$AB$2,
 IF(COUNTIF($AC$3:$AC$20,B184)&gt;0,$AC$2,
 IF(COUNTIF($AD$3:$AD$20,B184)&gt;0,$AD$2,
 "Not Found")))))))</f>
        <v>Not Found</v>
      </c>
      <c r="D184" s="2" t="s">
        <v>10</v>
      </c>
      <c r="E184" s="2" t="s">
        <v>11</v>
      </c>
      <c r="F184" s="2">
        <v>159</v>
      </c>
      <c r="G184" s="4">
        <v>0.40300000000000002</v>
      </c>
      <c r="H184" s="2">
        <v>-790</v>
      </c>
      <c r="I184" s="2">
        <v>96.7</v>
      </c>
      <c r="J184" s="2">
        <v>103.6</v>
      </c>
      <c r="K184" s="4">
        <v>0.51400000000000001</v>
      </c>
      <c r="L184" s="4">
        <v>0.54500000000000004</v>
      </c>
      <c r="M184" s="2">
        <v>246</v>
      </c>
      <c r="N184" s="4">
        <v>0.70899999999999996</v>
      </c>
      <c r="O184" s="8">
        <f>Table1[[#This Row],[PT MARGIN]]/Table1[[#This Row],[G]]</f>
        <v>-4.9685534591194971</v>
      </c>
    </row>
    <row r="185" spans="1:15" hidden="1" x14ac:dyDescent="0.2">
      <c r="A185" s="1">
        <v>107</v>
      </c>
      <c r="B185" s="2" t="s">
        <v>122</v>
      </c>
      <c r="C185" s="2" t="str">
        <f>IF(COUNTIF($X$3:$X$20,B185)&gt;0,$X$2,
 IF(COUNTIF($Y$3:$Y$20,B185)&gt;0,$Y$2,
 IF(COUNTIF($Z$3:$Z$20,B185)&gt;0,$Z$2,
 IF(COUNTIF($AA$3:$AA$20,B185)&gt;0,$AA$2,
 IF(COUNTIF($AB$3:$AB$20,B185)&gt;0,$AB$2,
 IF(COUNTIF($AC$3:$AC$20,B185)&gt;0,$AC$2,
 IF(COUNTIF($AD$3:$AD$20,B185)&gt;0,$AD$2,
 "Not Found")))))))</f>
        <v>Not Found</v>
      </c>
      <c r="D185" s="2" t="s">
        <v>10</v>
      </c>
      <c r="E185" s="2" t="s">
        <v>11</v>
      </c>
      <c r="F185" s="2">
        <v>146</v>
      </c>
      <c r="G185" s="4">
        <v>0.45900000000000002</v>
      </c>
      <c r="H185" s="2">
        <v>-346</v>
      </c>
      <c r="I185" s="2">
        <v>101.7</v>
      </c>
      <c r="J185" s="2">
        <v>105.1</v>
      </c>
      <c r="K185" s="4">
        <v>0.54800000000000004</v>
      </c>
      <c r="L185" s="4">
        <v>0.55900000000000005</v>
      </c>
      <c r="M185" s="2">
        <v>456</v>
      </c>
      <c r="N185" s="4">
        <v>0.71499999999999997</v>
      </c>
      <c r="O185" s="8">
        <f>Table1[[#This Row],[PT MARGIN]]/Table1[[#This Row],[G]]</f>
        <v>-2.3698630136986303</v>
      </c>
    </row>
    <row r="186" spans="1:15" hidden="1" x14ac:dyDescent="0.2">
      <c r="A186" s="1">
        <v>198</v>
      </c>
      <c r="B186" s="2" t="s">
        <v>214</v>
      </c>
      <c r="C186" s="2" t="str">
        <f>IF(COUNTIF($X$3:$X$20,B186)&gt;0,$X$2,
 IF(COUNTIF($Y$3:$Y$20,B186)&gt;0,$Y$2,
 IF(COUNTIF($Z$3:$Z$20,B186)&gt;0,$Z$2,
 IF(COUNTIF($AA$3:$AA$20,B186)&gt;0,$AA$2,
 IF(COUNTIF($AB$3:$AB$20,B186)&gt;0,$AB$2,
 IF(COUNTIF($AC$3:$AC$20,B186)&gt;0,$AC$2,
 IF(COUNTIF($AD$3:$AD$20,B186)&gt;0,$AD$2,
 "Not Found")))))))</f>
        <v>Not Found</v>
      </c>
      <c r="D186" s="2" t="s">
        <v>10</v>
      </c>
      <c r="E186" s="2" t="s">
        <v>11</v>
      </c>
      <c r="F186" s="2">
        <v>149</v>
      </c>
      <c r="G186" s="4">
        <v>0.34899999999999998</v>
      </c>
      <c r="H186" s="2">
        <v>-646</v>
      </c>
      <c r="I186" s="2">
        <v>100.3</v>
      </c>
      <c r="J186" s="2">
        <v>106.4</v>
      </c>
      <c r="K186" s="4">
        <v>0.53600000000000003</v>
      </c>
      <c r="L186" s="4">
        <v>0.56399999999999995</v>
      </c>
      <c r="M186" s="2">
        <v>68</v>
      </c>
      <c r="N186" s="4">
        <v>0.72599999999999998</v>
      </c>
      <c r="O186" s="8">
        <f>Table1[[#This Row],[PT MARGIN]]/Table1[[#This Row],[G]]</f>
        <v>-4.3355704697986575</v>
      </c>
    </row>
    <row r="187" spans="1:15" hidden="1" x14ac:dyDescent="0.2">
      <c r="A187" s="1">
        <v>233</v>
      </c>
      <c r="B187" s="2" t="s">
        <v>351</v>
      </c>
      <c r="C187" s="2" t="str">
        <f>IF(COUNTIF($X$3:$X$20,B187)&gt;0,$X$2,
 IF(COUNTIF($Y$3:$Y$20,B187)&gt;0,$Y$2,
 IF(COUNTIF($Z$3:$Z$20,B187)&gt;0,$Z$2,
 IF(COUNTIF($AA$3:$AA$20,B187)&gt;0,$AA$2,
 IF(COUNTIF($AB$3:$AB$20,B187)&gt;0,$AB$2,
 IF(COUNTIF($AC$3:$AC$20,B187)&gt;0,$AC$2,
 IF(COUNTIF($AD$3:$AD$20,B187)&gt;0,$AD$2,
 "Not Found")))))))</f>
        <v>Not Found</v>
      </c>
      <c r="D187" s="2" t="s">
        <v>10</v>
      </c>
      <c r="E187" s="2" t="s">
        <v>11</v>
      </c>
      <c r="F187" s="2">
        <v>153</v>
      </c>
      <c r="G187" s="4">
        <v>0.35899999999999999</v>
      </c>
      <c r="H187" s="2">
        <v>-795</v>
      </c>
      <c r="I187" s="2">
        <v>97</v>
      </c>
      <c r="J187" s="2">
        <v>104.5</v>
      </c>
      <c r="K187" s="4">
        <v>0.51400000000000001</v>
      </c>
      <c r="L187" s="4">
        <v>0.54900000000000004</v>
      </c>
      <c r="M187" s="2">
        <v>194</v>
      </c>
      <c r="N187" s="4">
        <v>0.72</v>
      </c>
      <c r="O187" s="8">
        <f>Table1[[#This Row],[PT MARGIN]]/Table1[[#This Row],[G]]</f>
        <v>-5.1960784313725492</v>
      </c>
    </row>
    <row r="188" spans="1:15" hidden="1" x14ac:dyDescent="0.2">
      <c r="A188" s="1">
        <v>324</v>
      </c>
      <c r="B188" s="2" t="s">
        <v>260</v>
      </c>
      <c r="C188" s="2" t="str">
        <f>IF(COUNTIF($X$3:$X$20,B188)&gt;0,$X$2,
 IF(COUNTIF($Y$3:$Y$20,B188)&gt;0,$Y$2,
 IF(COUNTIF($Z$3:$Z$20,B188)&gt;0,$Z$2,
 IF(COUNTIF($AA$3:$AA$20,B188)&gt;0,$AA$2,
 IF(COUNTIF($AB$3:$AB$20,B188)&gt;0,$AB$2,
 IF(COUNTIF($AC$3:$AC$20,B188)&gt;0,$AC$2,
 IF(COUNTIF($AD$3:$AD$20,B188)&gt;0,$AD$2,
 "Not Found")))))))</f>
        <v>Not Found</v>
      </c>
      <c r="D188" s="2" t="s">
        <v>10</v>
      </c>
      <c r="E188" s="2" t="s">
        <v>11</v>
      </c>
      <c r="F188" s="2">
        <v>145</v>
      </c>
      <c r="G188" s="4">
        <v>0.255</v>
      </c>
      <c r="H188" s="2">
        <v>-1395</v>
      </c>
      <c r="I188" s="2">
        <v>92.2</v>
      </c>
      <c r="J188" s="2">
        <v>105.3</v>
      </c>
      <c r="K188" s="4">
        <v>0.48699999999999999</v>
      </c>
      <c r="L188" s="4">
        <v>0.55700000000000005</v>
      </c>
      <c r="M188" s="2">
        <v>356</v>
      </c>
      <c r="N188" s="4">
        <v>0.69499999999999995</v>
      </c>
      <c r="O188" s="8">
        <f>Table1[[#This Row],[PT MARGIN]]/Table1[[#This Row],[G]]</f>
        <v>-9.6206896551724146</v>
      </c>
    </row>
    <row r="189" spans="1:15" hidden="1" x14ac:dyDescent="0.2">
      <c r="A189" s="1">
        <v>263</v>
      </c>
      <c r="B189" s="2" t="s">
        <v>321</v>
      </c>
      <c r="C189" s="2" t="str">
        <f>IF(COUNTIF($X$3:$X$20,B189)&gt;0,$X$2,
 IF(COUNTIF($Y$3:$Y$20,B189)&gt;0,$Y$2,
 IF(COUNTIF($Z$3:$Z$20,B189)&gt;0,$Z$2,
 IF(COUNTIF($AA$3:$AA$20,B189)&gt;0,$AA$2,
 IF(COUNTIF($AB$3:$AB$20,B189)&gt;0,$AB$2,
 IF(COUNTIF($AC$3:$AC$20,B189)&gt;0,$AC$2,
 IF(COUNTIF($AD$3:$AD$20,B189)&gt;0,$AD$2,
 "Not Found")))))))</f>
        <v>Not Found</v>
      </c>
      <c r="D189" s="2" t="s">
        <v>10</v>
      </c>
      <c r="E189" s="2" t="s">
        <v>11</v>
      </c>
      <c r="F189" s="2">
        <v>167</v>
      </c>
      <c r="G189" s="4">
        <v>0.34100000000000003</v>
      </c>
      <c r="H189" s="2">
        <v>-958</v>
      </c>
      <c r="I189" s="2">
        <v>95.3</v>
      </c>
      <c r="J189" s="2">
        <v>103.5</v>
      </c>
      <c r="K189" s="4">
        <v>0.51400000000000001</v>
      </c>
      <c r="L189" s="4">
        <v>0.54500000000000004</v>
      </c>
      <c r="M189" s="2">
        <v>85</v>
      </c>
      <c r="N189" s="4">
        <v>0.71699999999999997</v>
      </c>
      <c r="O189" s="8">
        <f>Table1[[#This Row],[PT MARGIN]]/Table1[[#This Row],[G]]</f>
        <v>-5.7365269461077846</v>
      </c>
    </row>
    <row r="190" spans="1:15" hidden="1" x14ac:dyDescent="0.2">
      <c r="A190" s="1">
        <v>31</v>
      </c>
      <c r="B190" s="2" t="s">
        <v>41</v>
      </c>
      <c r="C190" s="2" t="str">
        <f>IF(COUNTIF($X$3:$X$20,B190)&gt;0,$X$2,
 IF(COUNTIF($Y$3:$Y$20,B190)&gt;0,$Y$2,
 IF(COUNTIF($Z$3:$Z$20,B190)&gt;0,$Z$2,
 IF(COUNTIF($AA$3:$AA$20,B190)&gt;0,$AA$2,
 IF(COUNTIF($AB$3:$AB$20,B190)&gt;0,$AB$2,
 IF(COUNTIF($AC$3:$AC$20,B190)&gt;0,$AC$2,
 IF(COUNTIF($AD$3:$AD$20,B190)&gt;0,$AD$2,
 "Not Found")))))))</f>
        <v>Not Found</v>
      </c>
      <c r="D190" s="2" t="s">
        <v>10</v>
      </c>
      <c r="E190" s="2" t="s">
        <v>11</v>
      </c>
      <c r="F190" s="2">
        <v>129</v>
      </c>
      <c r="G190" s="4">
        <v>0.47299999999999998</v>
      </c>
      <c r="H190" s="2">
        <v>112</v>
      </c>
      <c r="I190" s="2">
        <v>103.8</v>
      </c>
      <c r="J190" s="2">
        <v>102.6</v>
      </c>
      <c r="K190" s="4">
        <v>0.54600000000000004</v>
      </c>
      <c r="L190" s="4">
        <v>0.54700000000000004</v>
      </c>
      <c r="M190" s="2">
        <v>144</v>
      </c>
      <c r="N190" s="4">
        <v>0.72499999999999998</v>
      </c>
      <c r="O190" s="8">
        <f>Table1[[#This Row],[PT MARGIN]]/Table1[[#This Row],[G]]</f>
        <v>0.86821705426356588</v>
      </c>
    </row>
    <row r="191" spans="1:15" hidden="1" x14ac:dyDescent="0.2">
      <c r="A191" s="1">
        <v>70</v>
      </c>
      <c r="B191" s="2" t="s">
        <v>81</v>
      </c>
      <c r="C191" s="2" t="str">
        <f>IF(COUNTIF($X$3:$X$20,B191)&gt;0,$X$2,
 IF(COUNTIF($Y$3:$Y$20,B191)&gt;0,$Y$2,
 IF(COUNTIF($Z$3:$Z$20,B191)&gt;0,$Z$2,
 IF(COUNTIF($AA$3:$AA$20,B191)&gt;0,$AA$2,
 IF(COUNTIF($AB$3:$AB$20,B191)&gt;0,$AB$2,
 IF(COUNTIF($AC$3:$AC$20,B191)&gt;0,$AC$2,
 IF(COUNTIF($AD$3:$AD$20,B191)&gt;0,$AD$2,
 "Not Found")))))))</f>
        <v>Not Found</v>
      </c>
      <c r="D191" s="2" t="s">
        <v>10</v>
      </c>
      <c r="E191" s="2" t="s">
        <v>11</v>
      </c>
      <c r="F191" s="2">
        <v>139</v>
      </c>
      <c r="G191" s="4">
        <v>0.46800000000000003</v>
      </c>
      <c r="H191" s="2">
        <v>-146</v>
      </c>
      <c r="I191" s="2">
        <v>99.1</v>
      </c>
      <c r="J191" s="2">
        <v>100.7</v>
      </c>
      <c r="K191" s="4">
        <v>0.51400000000000001</v>
      </c>
      <c r="L191" s="4">
        <v>0.54600000000000004</v>
      </c>
      <c r="M191" s="2">
        <v>-16</v>
      </c>
      <c r="N191" s="4">
        <v>0.70499999999999996</v>
      </c>
      <c r="O191" s="8">
        <f>Table1[[#This Row],[PT MARGIN]]/Table1[[#This Row],[G]]</f>
        <v>-1.0503597122302157</v>
      </c>
    </row>
    <row r="192" spans="1:15" x14ac:dyDescent="0.2">
      <c r="A192" s="1">
        <v>166</v>
      </c>
      <c r="B192" s="2" t="s">
        <v>182</v>
      </c>
      <c r="C192" s="2" t="str">
        <f>IF(COUNTIF($X$3:$X$20,B192)&gt;0,$X$2,
 IF(COUNTIF($Y$3:$Y$20,B192)&gt;0,$Y$2,
 IF(COUNTIF($Z$3:$Z$20,B192)&gt;0,$Z$2,
 IF(COUNTIF($AA$3:$AA$20,B192)&gt;0,$AA$2,
 IF(COUNTIF($AB$3:$AB$20,B192)&gt;0,$AB$2,
 IF(COUNTIF($AC$3:$AC$20,B192)&gt;0,$AC$2,
 IF(COUNTIF($AD$3:$AD$20,B192)&gt;0,$AD$2,
 "Not Found")))))))</f>
        <v>ACC</v>
      </c>
      <c r="D192" s="2" t="s">
        <v>10</v>
      </c>
      <c r="E192" s="2" t="s">
        <v>11</v>
      </c>
      <c r="F192" s="2">
        <v>104</v>
      </c>
      <c r="G192" s="4">
        <v>0.32700000000000001</v>
      </c>
      <c r="H192" s="2">
        <v>-547</v>
      </c>
      <c r="I192" s="2">
        <v>101.4</v>
      </c>
      <c r="J192" s="2">
        <v>108.8</v>
      </c>
      <c r="K192" s="4">
        <v>0.51900000000000002</v>
      </c>
      <c r="L192" s="4">
        <v>0.55900000000000005</v>
      </c>
      <c r="M192" s="2">
        <v>299</v>
      </c>
      <c r="N192" s="4">
        <v>0.73799999999999999</v>
      </c>
      <c r="O192" s="8">
        <f>Table1[[#This Row],[PT MARGIN]]/Table1[[#This Row],[G]]</f>
        <v>-5.259615384615385</v>
      </c>
    </row>
    <row r="193" spans="1:15" x14ac:dyDescent="0.2">
      <c r="A193" s="1">
        <v>269</v>
      </c>
      <c r="B193" s="2" t="s">
        <v>315</v>
      </c>
      <c r="C193" s="2" t="str">
        <f>IF(COUNTIF($X$3:$X$20,B193)&gt;0,$X$2,
 IF(COUNTIF($Y$3:$Y$20,B193)&gt;0,$Y$2,
 IF(COUNTIF($Z$3:$Z$20,B193)&gt;0,$Z$2,
 IF(COUNTIF($AA$3:$AA$20,B193)&gt;0,$AA$2,
 IF(COUNTIF($AB$3:$AB$20,B193)&gt;0,$AB$2,
 IF(COUNTIF($AC$3:$AC$20,B193)&gt;0,$AC$2,
 IF(COUNTIF($AD$3:$AD$20,B193)&gt;0,$AD$2,
 "Not Found")))))))</f>
        <v>Big 10</v>
      </c>
      <c r="D193" s="2" t="s">
        <v>10</v>
      </c>
      <c r="E193" s="2" t="s">
        <v>11</v>
      </c>
      <c r="F193" s="2">
        <v>114</v>
      </c>
      <c r="G193" s="4">
        <v>0.246</v>
      </c>
      <c r="H193" s="2">
        <v>-986</v>
      </c>
      <c r="I193" s="2">
        <v>96.4</v>
      </c>
      <c r="J193" s="2">
        <v>108.5</v>
      </c>
      <c r="K193" s="4">
        <v>0.51500000000000001</v>
      </c>
      <c r="L193" s="4">
        <v>0.55700000000000005</v>
      </c>
      <c r="M193" s="2">
        <v>229</v>
      </c>
      <c r="N193" s="4">
        <v>0.72099999999999997</v>
      </c>
      <c r="O193" s="8">
        <f>Table1[[#This Row],[PT MARGIN]]/Table1[[#This Row],[G]]</f>
        <v>-8.6491228070175445</v>
      </c>
    </row>
    <row r="194" spans="1:15" hidden="1" x14ac:dyDescent="0.2">
      <c r="A194" s="1">
        <v>34</v>
      </c>
      <c r="B194" s="2" t="s">
        <v>44</v>
      </c>
      <c r="C194" s="2" t="str">
        <f>IF(COUNTIF($X$3:$X$20,B194)&gt;0,$X$2,
 IF(COUNTIF($Y$3:$Y$20,B194)&gt;0,$Y$2,
 IF(COUNTIF($Z$3:$Z$20,B194)&gt;0,$Z$2,
 IF(COUNTIF($AA$3:$AA$20,B194)&gt;0,$AA$2,
 IF(COUNTIF($AB$3:$AB$20,B194)&gt;0,$AB$2,
 IF(COUNTIF($AC$3:$AC$20,B194)&gt;0,$AC$2,
 IF(COUNTIF($AD$3:$AD$20,B194)&gt;0,$AD$2,
 "Not Found")))))))</f>
        <v>Not Found</v>
      </c>
      <c r="D194" s="2" t="s">
        <v>10</v>
      </c>
      <c r="E194" s="2" t="s">
        <v>11</v>
      </c>
      <c r="F194" s="2">
        <v>119</v>
      </c>
      <c r="G194" s="4">
        <v>0.496</v>
      </c>
      <c r="H194" s="2">
        <v>66</v>
      </c>
      <c r="I194" s="2">
        <v>103.3</v>
      </c>
      <c r="J194" s="2">
        <v>102.5</v>
      </c>
      <c r="K194" s="4">
        <v>0.54200000000000004</v>
      </c>
      <c r="L194" s="4">
        <v>0.53900000000000003</v>
      </c>
      <c r="M194" s="2">
        <v>98</v>
      </c>
      <c r="N194" s="4">
        <v>0.70499999999999996</v>
      </c>
      <c r="O194" s="8">
        <f>Table1[[#This Row],[PT MARGIN]]/Table1[[#This Row],[G]]</f>
        <v>0.55462184873949583</v>
      </c>
    </row>
    <row r="195" spans="1:15" hidden="1" x14ac:dyDescent="0.2">
      <c r="A195" s="1">
        <v>268</v>
      </c>
      <c r="B195" s="2" t="s">
        <v>316</v>
      </c>
      <c r="C195" s="2" t="str">
        <f>IF(COUNTIF($X$3:$X$20,B195)&gt;0,$X$2,
 IF(COUNTIF($Y$3:$Y$20,B195)&gt;0,$Y$2,
 IF(COUNTIF($Z$3:$Z$20,B195)&gt;0,$Z$2,
 IF(COUNTIF($AA$3:$AA$20,B195)&gt;0,$AA$2,
 IF(COUNTIF($AB$3:$AB$20,B195)&gt;0,$AB$2,
 IF(COUNTIF($AC$3:$AC$20,B195)&gt;0,$AC$2,
 IF(COUNTIF($AD$3:$AD$20,B195)&gt;0,$AD$2,
 "Not Found")))))))</f>
        <v>Not Found</v>
      </c>
      <c r="D195" s="2" t="s">
        <v>10</v>
      </c>
      <c r="E195" s="2" t="s">
        <v>11</v>
      </c>
      <c r="F195" s="2">
        <v>144</v>
      </c>
      <c r="G195" s="4">
        <v>0.33300000000000002</v>
      </c>
      <c r="H195" s="2">
        <v>-985</v>
      </c>
      <c r="I195" s="2">
        <v>94.5</v>
      </c>
      <c r="J195" s="2">
        <v>104.4</v>
      </c>
      <c r="K195" s="4">
        <v>0.49399999999999999</v>
      </c>
      <c r="L195" s="4">
        <v>0.54400000000000004</v>
      </c>
      <c r="M195" s="2">
        <v>108</v>
      </c>
      <c r="N195" s="4">
        <v>0.7</v>
      </c>
      <c r="O195" s="8">
        <f>Table1[[#This Row],[PT MARGIN]]/Table1[[#This Row],[G]]</f>
        <v>-6.8402777777777777</v>
      </c>
    </row>
    <row r="196" spans="1:15" hidden="1" x14ac:dyDescent="0.2">
      <c r="A196" s="1">
        <v>137</v>
      </c>
      <c r="B196" s="2" t="s">
        <v>153</v>
      </c>
      <c r="C196" s="2" t="str">
        <f>IF(COUNTIF($X$3:$X$20,B196)&gt;0,$X$2,
 IF(COUNTIF($Y$3:$Y$20,B196)&gt;0,$Y$2,
 IF(COUNTIF($Z$3:$Z$20,B196)&gt;0,$Z$2,
 IF(COUNTIF($AA$3:$AA$20,B196)&gt;0,$AA$2,
 IF(COUNTIF($AB$3:$AB$20,B196)&gt;0,$AB$2,
 IF(COUNTIF($AC$3:$AC$20,B196)&gt;0,$AC$2,
 IF(COUNTIF($AD$3:$AD$20,B196)&gt;0,$AD$2,
 "Not Found")))))))</f>
        <v>Not Found</v>
      </c>
      <c r="D196" s="2" t="s">
        <v>10</v>
      </c>
      <c r="E196" s="2" t="s">
        <v>11</v>
      </c>
      <c r="F196" s="2">
        <v>115</v>
      </c>
      <c r="G196" s="4">
        <v>0.36499999999999999</v>
      </c>
      <c r="H196" s="2">
        <v>-448</v>
      </c>
      <c r="I196" s="2">
        <v>100.4</v>
      </c>
      <c r="J196" s="2">
        <v>105.7</v>
      </c>
      <c r="K196" s="4">
        <v>0.53400000000000003</v>
      </c>
      <c r="L196" s="4">
        <v>0.55900000000000005</v>
      </c>
      <c r="M196" s="2">
        <v>121</v>
      </c>
      <c r="N196" s="4">
        <v>0.70499999999999996</v>
      </c>
      <c r="O196" s="8">
        <f>Table1[[#This Row],[PT MARGIN]]/Table1[[#This Row],[G]]</f>
        <v>-3.8956521739130436</v>
      </c>
    </row>
    <row r="197" spans="1:15" hidden="1" x14ac:dyDescent="0.2">
      <c r="A197" s="1">
        <v>35</v>
      </c>
      <c r="B197" s="2" t="s">
        <v>45</v>
      </c>
      <c r="C197" s="2" t="str">
        <f>IF(COUNTIF($X$3:$X$20,B197)&gt;0,$X$2,
 IF(COUNTIF($Y$3:$Y$20,B197)&gt;0,$Y$2,
 IF(COUNTIF($Z$3:$Z$20,B197)&gt;0,$Z$2,
 IF(COUNTIF($AA$3:$AA$20,B197)&gt;0,$AA$2,
 IF(COUNTIF($AB$3:$AB$20,B197)&gt;0,$AB$2,
 IF(COUNTIF($AC$3:$AC$20,B197)&gt;0,$AC$2,
 IF(COUNTIF($AD$3:$AD$20,B197)&gt;0,$AD$2,
 "Not Found")))))))</f>
        <v>Not Found</v>
      </c>
      <c r="D197" s="2" t="s">
        <v>10</v>
      </c>
      <c r="E197" s="2" t="s">
        <v>11</v>
      </c>
      <c r="F197" s="2">
        <v>120</v>
      </c>
      <c r="G197" s="4">
        <v>0.55000000000000004</v>
      </c>
      <c r="H197" s="2">
        <v>53</v>
      </c>
      <c r="I197" s="2">
        <v>100.6</v>
      </c>
      <c r="J197" s="2">
        <v>99.9</v>
      </c>
      <c r="K197" s="4">
        <v>0.52600000000000002</v>
      </c>
      <c r="L197" s="4">
        <v>0.52700000000000002</v>
      </c>
      <c r="M197" s="2">
        <v>39</v>
      </c>
      <c r="N197" s="4">
        <v>0.70299999999999996</v>
      </c>
      <c r="O197" s="8">
        <f>Table1[[#This Row],[PT MARGIN]]/Table1[[#This Row],[G]]</f>
        <v>0.44166666666666665</v>
      </c>
    </row>
    <row r="198" spans="1:15" hidden="1" x14ac:dyDescent="0.2">
      <c r="A198" s="1">
        <v>342</v>
      </c>
      <c r="B198" s="2" t="s">
        <v>242</v>
      </c>
      <c r="C198" s="2" t="str">
        <f>IF(COUNTIF($X$3:$X$20,B198)&gt;0,$X$2,
 IF(COUNTIF($Y$3:$Y$20,B198)&gt;0,$Y$2,
 IF(COUNTIF($Z$3:$Z$20,B198)&gt;0,$Z$2,
 IF(COUNTIF($AA$3:$AA$20,B198)&gt;0,$AA$2,
 IF(COUNTIF($AB$3:$AB$20,B198)&gt;0,$AB$2,
 IF(COUNTIF($AC$3:$AC$20,B198)&gt;0,$AC$2,
 IF(COUNTIF($AD$3:$AD$20,B198)&gt;0,$AD$2,
 "Not Found")))))))</f>
        <v>Not Found</v>
      </c>
      <c r="D198" s="2" t="s">
        <v>10</v>
      </c>
      <c r="E198" s="2" t="s">
        <v>11</v>
      </c>
      <c r="F198" s="2">
        <v>152</v>
      </c>
      <c r="G198" s="4">
        <v>0.24299999999999999</v>
      </c>
      <c r="H198" s="2">
        <v>-1635</v>
      </c>
      <c r="I198" s="2">
        <v>94.4</v>
      </c>
      <c r="J198" s="2">
        <v>109.1</v>
      </c>
      <c r="K198" s="4">
        <v>0.50800000000000001</v>
      </c>
      <c r="L198" s="4">
        <v>0.57499999999999996</v>
      </c>
      <c r="M198" s="2">
        <v>97</v>
      </c>
      <c r="N198" s="4">
        <v>0.71499999999999997</v>
      </c>
      <c r="O198" s="8">
        <f>Table1[[#This Row],[PT MARGIN]]/Table1[[#This Row],[G]]</f>
        <v>-10.756578947368421</v>
      </c>
    </row>
    <row r="199" spans="1:15" hidden="1" x14ac:dyDescent="0.2">
      <c r="A199" s="1">
        <v>262</v>
      </c>
      <c r="B199" s="2" t="s">
        <v>322</v>
      </c>
      <c r="C199" s="2" t="str">
        <f>IF(COUNTIF($X$3:$X$20,B199)&gt;0,$X$2,
 IF(COUNTIF($Y$3:$Y$20,B199)&gt;0,$Y$2,
 IF(COUNTIF($Z$3:$Z$20,B199)&gt;0,$Z$2,
 IF(COUNTIF($AA$3:$AA$20,B199)&gt;0,$AA$2,
 IF(COUNTIF($AB$3:$AB$20,B199)&gt;0,$AB$2,
 IF(COUNTIF($AC$3:$AC$20,B199)&gt;0,$AC$2,
 IF(COUNTIF($AD$3:$AD$20,B199)&gt;0,$AD$2,
 "Not Found")))))))</f>
        <v>Not Found</v>
      </c>
      <c r="D199" s="2" t="s">
        <v>10</v>
      </c>
      <c r="E199" s="2" t="s">
        <v>11</v>
      </c>
      <c r="F199" s="2">
        <v>152</v>
      </c>
      <c r="G199" s="4">
        <v>0.30299999999999999</v>
      </c>
      <c r="H199" s="2">
        <v>-954</v>
      </c>
      <c r="I199" s="2">
        <v>96.6</v>
      </c>
      <c r="J199" s="2">
        <v>105.6</v>
      </c>
      <c r="K199" s="4">
        <v>0.51300000000000001</v>
      </c>
      <c r="L199" s="4">
        <v>0.54800000000000004</v>
      </c>
      <c r="M199" s="2">
        <v>-37</v>
      </c>
      <c r="N199" s="4">
        <v>0.73099999999999998</v>
      </c>
      <c r="O199" s="8">
        <f>Table1[[#This Row],[PT MARGIN]]/Table1[[#This Row],[G]]</f>
        <v>-6.2763157894736841</v>
      </c>
    </row>
    <row r="200" spans="1:15" hidden="1" x14ac:dyDescent="0.2">
      <c r="A200" s="1">
        <v>291</v>
      </c>
      <c r="B200" s="2" t="s">
        <v>293</v>
      </c>
      <c r="C200" s="2" t="str">
        <f>IF(COUNTIF($X$3:$X$20,B200)&gt;0,$X$2,
 IF(COUNTIF($Y$3:$Y$20,B200)&gt;0,$Y$2,
 IF(COUNTIF($Z$3:$Z$20,B200)&gt;0,$Z$2,
 IF(COUNTIF($AA$3:$AA$20,B200)&gt;0,$AA$2,
 IF(COUNTIF($AB$3:$AB$20,B200)&gt;0,$AB$2,
 IF(COUNTIF($AC$3:$AC$20,B200)&gt;0,$AC$2,
 IF(COUNTIF($AD$3:$AD$20,B200)&gt;0,$AD$2,
 "Not Found")))))))</f>
        <v>Not Found</v>
      </c>
      <c r="D200" s="2" t="s">
        <v>10</v>
      </c>
      <c r="E200" s="2" t="s">
        <v>11</v>
      </c>
      <c r="F200" s="2">
        <v>157</v>
      </c>
      <c r="G200" s="4">
        <v>0.36899999999999999</v>
      </c>
      <c r="H200" s="2">
        <v>-1107</v>
      </c>
      <c r="I200" s="2">
        <v>96.4</v>
      </c>
      <c r="J200" s="2">
        <v>105.9</v>
      </c>
      <c r="K200" s="4">
        <v>0.51800000000000002</v>
      </c>
      <c r="L200" s="4">
        <v>0.55300000000000005</v>
      </c>
      <c r="M200" s="2">
        <v>573</v>
      </c>
      <c r="N200" s="4">
        <v>0.70499999999999996</v>
      </c>
      <c r="O200" s="8">
        <f>Table1[[#This Row],[PT MARGIN]]/Table1[[#This Row],[G]]</f>
        <v>-7.0509554140127388</v>
      </c>
    </row>
    <row r="201" spans="1:15" hidden="1" x14ac:dyDescent="0.2">
      <c r="A201" s="1">
        <v>294</v>
      </c>
      <c r="B201" s="2" t="s">
        <v>290</v>
      </c>
      <c r="C201" s="2" t="str">
        <f>IF(COUNTIF($X$3:$X$20,B201)&gt;0,$X$2,
 IF(COUNTIF($Y$3:$Y$20,B201)&gt;0,$Y$2,
 IF(COUNTIF($Z$3:$Z$20,B201)&gt;0,$Z$2,
 IF(COUNTIF($AA$3:$AA$20,B201)&gt;0,$AA$2,
 IF(COUNTIF($AB$3:$AB$20,B201)&gt;0,$AB$2,
 IF(COUNTIF($AC$3:$AC$20,B201)&gt;0,$AC$2,
 IF(COUNTIF($AD$3:$AD$20,B201)&gt;0,$AD$2,
 "Not Found")))))))</f>
        <v>Not Found</v>
      </c>
      <c r="D201" s="2" t="s">
        <v>10</v>
      </c>
      <c r="E201" s="2" t="s">
        <v>11</v>
      </c>
      <c r="F201" s="2">
        <v>151</v>
      </c>
      <c r="G201" s="4">
        <v>0.27800000000000002</v>
      </c>
      <c r="H201" s="2">
        <v>-1124</v>
      </c>
      <c r="I201" s="2">
        <v>96.8</v>
      </c>
      <c r="J201" s="2">
        <v>107.4</v>
      </c>
      <c r="K201" s="4">
        <v>0.51200000000000001</v>
      </c>
      <c r="L201" s="4">
        <v>0.55800000000000005</v>
      </c>
      <c r="M201" s="2">
        <v>186</v>
      </c>
      <c r="N201" s="4">
        <v>0.70799999999999996</v>
      </c>
      <c r="O201" s="8">
        <f>Table1[[#This Row],[PT MARGIN]]/Table1[[#This Row],[G]]</f>
        <v>-7.443708609271523</v>
      </c>
    </row>
    <row r="202" spans="1:15" hidden="1" x14ac:dyDescent="0.2">
      <c r="A202" s="1">
        <v>178</v>
      </c>
      <c r="B202" s="2" t="s">
        <v>194</v>
      </c>
      <c r="C202" s="2" t="str">
        <f>IF(COUNTIF($X$3:$X$20,B202)&gt;0,$X$2,
 IF(COUNTIF($Y$3:$Y$20,B202)&gt;0,$Y$2,
 IF(COUNTIF($Z$3:$Z$20,B202)&gt;0,$Z$2,
 IF(COUNTIF($AA$3:$AA$20,B202)&gt;0,$AA$2,
 IF(COUNTIF($AB$3:$AB$20,B202)&gt;0,$AB$2,
 IF(COUNTIF($AC$3:$AC$20,B202)&gt;0,$AC$2,
 IF(COUNTIF($AD$3:$AD$20,B202)&gt;0,$AD$2,
 "Not Found")))))))</f>
        <v>Not Found</v>
      </c>
      <c r="D202" s="2" t="s">
        <v>10</v>
      </c>
      <c r="E202" s="2" t="s">
        <v>11</v>
      </c>
      <c r="F202" s="2">
        <v>146</v>
      </c>
      <c r="G202" s="4">
        <v>0.42499999999999999</v>
      </c>
      <c r="H202" s="2">
        <v>-587</v>
      </c>
      <c r="I202" s="2">
        <v>97.6</v>
      </c>
      <c r="J202" s="2">
        <v>103.3</v>
      </c>
      <c r="K202" s="4">
        <v>0.52200000000000002</v>
      </c>
      <c r="L202" s="4">
        <v>0.54300000000000004</v>
      </c>
      <c r="M202" s="2">
        <v>348</v>
      </c>
      <c r="N202" s="4">
        <v>0.69599999999999995</v>
      </c>
      <c r="O202" s="8">
        <f>Table1[[#This Row],[PT MARGIN]]/Table1[[#This Row],[G]]</f>
        <v>-4.0205479452054798</v>
      </c>
    </row>
    <row r="203" spans="1:15" hidden="1" x14ac:dyDescent="0.2">
      <c r="A203" s="1">
        <v>235</v>
      </c>
      <c r="B203" s="2" t="s">
        <v>349</v>
      </c>
      <c r="C203" s="2" t="str">
        <f>IF(COUNTIF($X$3:$X$20,B203)&gt;0,$X$2,
 IF(COUNTIF($Y$3:$Y$20,B203)&gt;0,$Y$2,
 IF(COUNTIF($Z$3:$Z$20,B203)&gt;0,$Z$2,
 IF(COUNTIF($AA$3:$AA$20,B203)&gt;0,$AA$2,
 IF(COUNTIF($AB$3:$AB$20,B203)&gt;0,$AB$2,
 IF(COUNTIF($AC$3:$AC$20,B203)&gt;0,$AC$2,
 IF(COUNTIF($AD$3:$AD$20,B203)&gt;0,$AD$2,
 "Not Found")))))))</f>
        <v>Not Found</v>
      </c>
      <c r="D203" s="2" t="s">
        <v>120</v>
      </c>
      <c r="E203" s="2" t="s">
        <v>11</v>
      </c>
      <c r="F203" s="2">
        <v>107</v>
      </c>
      <c r="G203" s="4">
        <v>0.29899999999999999</v>
      </c>
      <c r="H203" s="2">
        <v>-799</v>
      </c>
      <c r="I203" s="2">
        <v>96.6</v>
      </c>
      <c r="J203" s="2">
        <v>107.1</v>
      </c>
      <c r="K203" s="4">
        <v>0.51</v>
      </c>
      <c r="L203" s="4">
        <v>0.55600000000000005</v>
      </c>
      <c r="M203" s="2">
        <v>267</v>
      </c>
      <c r="N203" s="4">
        <v>0.71699999999999997</v>
      </c>
      <c r="O203" s="8">
        <f>Table1[[#This Row],[PT MARGIN]]/Table1[[#This Row],[G]]</f>
        <v>-7.4672897196261685</v>
      </c>
    </row>
    <row r="204" spans="1:15" x14ac:dyDescent="0.2">
      <c r="A204" s="1">
        <v>13</v>
      </c>
      <c r="B204" s="2" t="s">
        <v>23</v>
      </c>
      <c r="C204" s="2" t="str">
        <f>IF(COUNTIF($X$3:$X$20,B204)&gt;0,$X$2,
 IF(COUNTIF($Y$3:$Y$20,B204)&gt;0,$Y$2,
 IF(COUNTIF($Z$3:$Z$20,B204)&gt;0,$Z$2,
 IF(COUNTIF($AA$3:$AA$20,B204)&gt;0,$AA$2,
 IF(COUNTIF($AB$3:$AB$20,B204)&gt;0,$AB$2,
 IF(COUNTIF($AC$3:$AC$20,B204)&gt;0,$AC$2,
 IF(COUNTIF($AD$3:$AD$20,B204)&gt;0,$AD$2,
 "Not Found")))))))</f>
        <v>ACC</v>
      </c>
      <c r="D204" s="2" t="s">
        <v>10</v>
      </c>
      <c r="E204" s="2" t="s">
        <v>11</v>
      </c>
      <c r="F204" s="2">
        <v>111</v>
      </c>
      <c r="G204" s="4">
        <v>0.55000000000000004</v>
      </c>
      <c r="H204" s="2">
        <v>265</v>
      </c>
      <c r="I204" s="2">
        <v>104.5</v>
      </c>
      <c r="J204" s="2">
        <v>101.2</v>
      </c>
      <c r="K204" s="4">
        <v>0.52900000000000003</v>
      </c>
      <c r="L204" s="4">
        <v>0.52500000000000002</v>
      </c>
      <c r="M204" s="2">
        <v>142</v>
      </c>
      <c r="N204" s="4">
        <v>0.72899999999999998</v>
      </c>
      <c r="O204" s="8">
        <f>Table1[[#This Row],[PT MARGIN]]/Table1[[#This Row],[G]]</f>
        <v>2.3873873873873874</v>
      </c>
    </row>
    <row r="205" spans="1:15" hidden="1" x14ac:dyDescent="0.2">
      <c r="A205" s="1">
        <v>353</v>
      </c>
      <c r="B205" s="2" t="s">
        <v>231</v>
      </c>
      <c r="C205" s="2" t="str">
        <f>IF(COUNTIF($X$3:$X$20,B205)&gt;0,$X$2,
 IF(COUNTIF($Y$3:$Y$20,B205)&gt;0,$Y$2,
 IF(COUNTIF($Z$3:$Z$20,B205)&gt;0,$Z$2,
 IF(COUNTIF($AA$3:$AA$20,B205)&gt;0,$AA$2,
 IF(COUNTIF($AB$3:$AB$20,B205)&gt;0,$AB$2,
 IF(COUNTIF($AC$3:$AC$20,B205)&gt;0,$AC$2,
 IF(COUNTIF($AD$3:$AD$20,B205)&gt;0,$AD$2,
 "Not Found")))))))</f>
        <v>Not Found</v>
      </c>
      <c r="D205" s="2" t="s">
        <v>10</v>
      </c>
      <c r="E205" s="2" t="s">
        <v>11</v>
      </c>
      <c r="F205" s="2">
        <v>157</v>
      </c>
      <c r="G205" s="4">
        <v>0.217</v>
      </c>
      <c r="H205" s="2">
        <v>-1796</v>
      </c>
      <c r="I205" s="2">
        <v>94</v>
      </c>
      <c r="J205" s="2">
        <v>110.1</v>
      </c>
      <c r="K205" s="4">
        <v>0.498</v>
      </c>
      <c r="L205" s="4">
        <v>0.56399999999999995</v>
      </c>
      <c r="M205" s="2">
        <v>326</v>
      </c>
      <c r="N205" s="4">
        <v>0.7</v>
      </c>
      <c r="O205" s="8">
        <f>Table1[[#This Row],[PT MARGIN]]/Table1[[#This Row],[G]]</f>
        <v>-11.439490445859873</v>
      </c>
    </row>
    <row r="206" spans="1:15" hidden="1" x14ac:dyDescent="0.2">
      <c r="A206" s="1">
        <v>259</v>
      </c>
      <c r="B206" s="2" t="s">
        <v>325</v>
      </c>
      <c r="C206" s="2" t="str">
        <f>IF(COUNTIF($X$3:$X$20,B206)&gt;0,$X$2,
 IF(COUNTIF($Y$3:$Y$20,B206)&gt;0,$Y$2,
 IF(COUNTIF($Z$3:$Z$20,B206)&gt;0,$Z$2,
 IF(COUNTIF($AA$3:$AA$20,B206)&gt;0,$AA$2,
 IF(COUNTIF($AB$3:$AB$20,B206)&gt;0,$AB$2,
 IF(COUNTIF($AC$3:$AC$20,B206)&gt;0,$AC$2,
 IF(COUNTIF($AD$3:$AD$20,B206)&gt;0,$AD$2,
 "Not Found")))))))</f>
        <v>Not Found</v>
      </c>
      <c r="D206" s="2" t="s">
        <v>10</v>
      </c>
      <c r="E206" s="2" t="s">
        <v>11</v>
      </c>
      <c r="F206" s="2">
        <v>148</v>
      </c>
      <c r="G206" s="4">
        <v>0.29099999999999998</v>
      </c>
      <c r="H206" s="2">
        <v>-933</v>
      </c>
      <c r="I206" s="2">
        <v>95.3</v>
      </c>
      <c r="J206" s="2">
        <v>104.3</v>
      </c>
      <c r="K206" s="4">
        <v>0.51500000000000001</v>
      </c>
      <c r="L206" s="4">
        <v>0.54900000000000004</v>
      </c>
      <c r="M206" s="2">
        <v>423</v>
      </c>
      <c r="N206" s="4">
        <v>0.71199999999999997</v>
      </c>
      <c r="O206" s="8">
        <f>Table1[[#This Row],[PT MARGIN]]/Table1[[#This Row],[G]]</f>
        <v>-6.3040540540540544</v>
      </c>
    </row>
    <row r="207" spans="1:15" hidden="1" x14ac:dyDescent="0.2">
      <c r="A207" s="1">
        <v>299</v>
      </c>
      <c r="B207" s="2" t="s">
        <v>285</v>
      </c>
      <c r="C207" s="2" t="str">
        <f>IF(COUNTIF($X$3:$X$20,B207)&gt;0,$X$2,
 IF(COUNTIF($Y$3:$Y$20,B207)&gt;0,$Y$2,
 IF(COUNTIF($Z$3:$Z$20,B207)&gt;0,$Z$2,
 IF(COUNTIF($AA$3:$AA$20,B207)&gt;0,$AA$2,
 IF(COUNTIF($AB$3:$AB$20,B207)&gt;0,$AB$2,
 IF(COUNTIF($AC$3:$AC$20,B207)&gt;0,$AC$2,
 IF(COUNTIF($AD$3:$AD$20,B207)&gt;0,$AD$2,
 "Not Found")))))))</f>
        <v>Not Found</v>
      </c>
      <c r="D207" s="2" t="s">
        <v>10</v>
      </c>
      <c r="E207" s="2" t="s">
        <v>11</v>
      </c>
      <c r="F207" s="2">
        <v>145</v>
      </c>
      <c r="G207" s="4">
        <v>0.26200000000000001</v>
      </c>
      <c r="H207" s="2">
        <v>-1151</v>
      </c>
      <c r="I207" s="2">
        <v>99.2</v>
      </c>
      <c r="J207" s="2">
        <v>110.2</v>
      </c>
      <c r="K207" s="4">
        <v>0.52900000000000003</v>
      </c>
      <c r="L207" s="4">
        <v>0.57399999999999995</v>
      </c>
      <c r="M207" s="2">
        <v>92</v>
      </c>
      <c r="N207" s="4">
        <v>0.72199999999999998</v>
      </c>
      <c r="O207" s="8">
        <f>Table1[[#This Row],[PT MARGIN]]/Table1[[#This Row],[G]]</f>
        <v>-7.9379310344827587</v>
      </c>
    </row>
    <row r="208" spans="1:15" hidden="1" x14ac:dyDescent="0.2">
      <c r="A208" s="1">
        <v>131</v>
      </c>
      <c r="B208" s="2" t="s">
        <v>147</v>
      </c>
      <c r="C208" s="2" t="str">
        <f>IF(COUNTIF($X$3:$X$20,B208)&gt;0,$X$2,
 IF(COUNTIF($Y$3:$Y$20,B208)&gt;0,$Y$2,
 IF(COUNTIF($Z$3:$Z$20,B208)&gt;0,$Z$2,
 IF(COUNTIF($AA$3:$AA$20,B208)&gt;0,$AA$2,
 IF(COUNTIF($AB$3:$AB$20,B208)&gt;0,$AB$2,
 IF(COUNTIF($AC$3:$AC$20,B208)&gt;0,$AC$2,
 IF(COUNTIF($AD$3:$AD$20,B208)&gt;0,$AD$2,
 "Not Found")))))))</f>
        <v>Not Found</v>
      </c>
      <c r="D208" s="2" t="s">
        <v>10</v>
      </c>
      <c r="E208" s="2" t="s">
        <v>11</v>
      </c>
      <c r="F208" s="2">
        <v>143</v>
      </c>
      <c r="G208" s="4">
        <v>0.42</v>
      </c>
      <c r="H208" s="2">
        <v>-424</v>
      </c>
      <c r="I208" s="2">
        <v>101</v>
      </c>
      <c r="J208" s="2">
        <v>105.3</v>
      </c>
      <c r="K208" s="4">
        <v>0.54100000000000004</v>
      </c>
      <c r="L208" s="4">
        <v>0.54</v>
      </c>
      <c r="M208" s="2">
        <v>88</v>
      </c>
      <c r="N208" s="4">
        <v>0.72299999999999998</v>
      </c>
      <c r="O208" s="8">
        <f>Table1[[#This Row],[PT MARGIN]]/Table1[[#This Row],[G]]</f>
        <v>-2.965034965034965</v>
      </c>
    </row>
    <row r="209" spans="1:15" hidden="1" x14ac:dyDescent="0.2">
      <c r="A209" s="1">
        <v>333</v>
      </c>
      <c r="B209" s="2" t="s">
        <v>251</v>
      </c>
      <c r="C209" s="2" t="str">
        <f>IF(COUNTIF($X$3:$X$20,B209)&gt;0,$X$2,
 IF(COUNTIF($Y$3:$Y$20,B209)&gt;0,$Y$2,
 IF(COUNTIF($Z$3:$Z$20,B209)&gt;0,$Z$2,
 IF(COUNTIF($AA$3:$AA$20,B209)&gt;0,$AA$2,
 IF(COUNTIF($AB$3:$AB$20,B209)&gt;0,$AB$2,
 IF(COUNTIF($AC$3:$AC$20,B209)&gt;0,$AC$2,
 IF(COUNTIF($AD$3:$AD$20,B209)&gt;0,$AD$2,
 "Not Found")))))))</f>
        <v>Not Found</v>
      </c>
      <c r="D209" s="2" t="s">
        <v>10</v>
      </c>
      <c r="E209" s="2" t="s">
        <v>11</v>
      </c>
      <c r="F209" s="2">
        <v>164</v>
      </c>
      <c r="G209" s="4">
        <v>0.28699999999999998</v>
      </c>
      <c r="H209" s="2">
        <v>-1493</v>
      </c>
      <c r="I209" s="2">
        <v>99.7</v>
      </c>
      <c r="J209" s="2">
        <v>112.2</v>
      </c>
      <c r="K209" s="4">
        <v>0.54100000000000004</v>
      </c>
      <c r="L209" s="4">
        <v>0.55500000000000005</v>
      </c>
      <c r="M209" s="2">
        <v>260</v>
      </c>
      <c r="N209" s="4">
        <v>0.70599999999999996</v>
      </c>
      <c r="O209" s="8">
        <f>Table1[[#This Row],[PT MARGIN]]/Table1[[#This Row],[G]]</f>
        <v>-9.1036585365853657</v>
      </c>
    </row>
    <row r="210" spans="1:15" hidden="1" x14ac:dyDescent="0.2">
      <c r="A210" s="1">
        <v>97</v>
      </c>
      <c r="B210" s="2" t="s">
        <v>110</v>
      </c>
      <c r="C210" s="2" t="str">
        <f>IF(COUNTIF($X$3:$X$20,B210)&gt;0,$X$2,
 IF(COUNTIF($Y$3:$Y$20,B210)&gt;0,$Y$2,
 IF(COUNTIF($Z$3:$Z$20,B210)&gt;0,$Z$2,
 IF(COUNTIF($AA$3:$AA$20,B210)&gt;0,$AA$2,
 IF(COUNTIF($AB$3:$AB$20,B210)&gt;0,$AB$2,
 IF(COUNTIF($AC$3:$AC$20,B210)&gt;0,$AC$2,
 IF(COUNTIF($AD$3:$AD$20,B210)&gt;0,$AD$2,
 "Not Found")))))))</f>
        <v>Not Found</v>
      </c>
      <c r="D210" s="2" t="s">
        <v>10</v>
      </c>
      <c r="E210" s="2" t="s">
        <v>11</v>
      </c>
      <c r="F210" s="2">
        <v>121</v>
      </c>
      <c r="G210" s="4">
        <v>0.45500000000000002</v>
      </c>
      <c r="H210" s="2">
        <v>-296</v>
      </c>
      <c r="I210" s="2">
        <v>98.5</v>
      </c>
      <c r="J210" s="2">
        <v>102.2</v>
      </c>
      <c r="K210" s="4">
        <v>0.52600000000000002</v>
      </c>
      <c r="L210" s="4">
        <v>0.54</v>
      </c>
      <c r="M210" s="2">
        <v>299</v>
      </c>
      <c r="N210" s="4">
        <v>0.71499999999999997</v>
      </c>
      <c r="O210" s="8">
        <f>Table1[[#This Row],[PT MARGIN]]/Table1[[#This Row],[G]]</f>
        <v>-2.446280991735537</v>
      </c>
    </row>
    <row r="211" spans="1:15" hidden="1" x14ac:dyDescent="0.2">
      <c r="A211" s="1">
        <v>136</v>
      </c>
      <c r="B211" s="2" t="s">
        <v>152</v>
      </c>
      <c r="C211" s="2" t="str">
        <f>IF(COUNTIF($X$3:$X$20,B211)&gt;0,$X$2,
 IF(COUNTIF($Y$3:$Y$20,B211)&gt;0,$Y$2,
 IF(COUNTIF($Z$3:$Z$20,B211)&gt;0,$Z$2,
 IF(COUNTIF($AA$3:$AA$20,B211)&gt;0,$AA$2,
 IF(COUNTIF($AB$3:$AB$20,B211)&gt;0,$AB$2,
 IF(COUNTIF($AC$3:$AC$20,B211)&gt;0,$AC$2,
 IF(COUNTIF($AD$3:$AD$20,B211)&gt;0,$AD$2,
 "Not Found")))))))</f>
        <v>Not Found</v>
      </c>
      <c r="D211" s="2" t="s">
        <v>10</v>
      </c>
      <c r="E211" s="2" t="s">
        <v>11</v>
      </c>
      <c r="F211" s="2">
        <v>144</v>
      </c>
      <c r="G211" s="4">
        <v>0.39600000000000002</v>
      </c>
      <c r="H211" s="2">
        <v>-446</v>
      </c>
      <c r="I211" s="2">
        <v>101.2</v>
      </c>
      <c r="J211" s="2">
        <v>105.7</v>
      </c>
      <c r="K211" s="4">
        <v>0.55100000000000005</v>
      </c>
      <c r="L211" s="4">
        <v>0.55400000000000005</v>
      </c>
      <c r="M211" s="2">
        <v>54</v>
      </c>
      <c r="N211" s="4">
        <v>0.72499999999999998</v>
      </c>
      <c r="O211" s="8">
        <f>Table1[[#This Row],[PT MARGIN]]/Table1[[#This Row],[G]]</f>
        <v>-3.0972222222222223</v>
      </c>
    </row>
    <row r="212" spans="1:15" hidden="1" x14ac:dyDescent="0.2">
      <c r="A212" s="1">
        <v>345</v>
      </c>
      <c r="B212" s="2" t="s">
        <v>239</v>
      </c>
      <c r="C212" s="2" t="str">
        <f>IF(COUNTIF($X$3:$X$20,B212)&gt;0,$X$2,
 IF(COUNTIF($Y$3:$Y$20,B212)&gt;0,$Y$2,
 IF(COUNTIF($Z$3:$Z$20,B212)&gt;0,$Z$2,
 IF(COUNTIF($AA$3:$AA$20,B212)&gt;0,$AA$2,
 IF(COUNTIF($AB$3:$AB$20,B212)&gt;0,$AB$2,
 IF(COUNTIF($AC$3:$AC$20,B212)&gt;0,$AC$2,
 IF(COUNTIF($AD$3:$AD$20,B212)&gt;0,$AD$2,
 "Not Found")))))))</f>
        <v>Not Found</v>
      </c>
      <c r="D212" s="2" t="s">
        <v>10</v>
      </c>
      <c r="E212" s="2" t="s">
        <v>11</v>
      </c>
      <c r="F212" s="2">
        <v>153</v>
      </c>
      <c r="G212" s="4">
        <v>0.26100000000000001</v>
      </c>
      <c r="H212" s="2">
        <v>-1674</v>
      </c>
      <c r="I212" s="2">
        <v>94.9</v>
      </c>
      <c r="J212" s="2">
        <v>110.4</v>
      </c>
      <c r="K212" s="4">
        <v>0.50700000000000001</v>
      </c>
      <c r="L212" s="4">
        <v>0.58299999999999996</v>
      </c>
      <c r="M212" s="2">
        <v>151</v>
      </c>
      <c r="N212" s="4">
        <v>0.72399999999999998</v>
      </c>
      <c r="O212" s="8">
        <f>Table1[[#This Row],[PT MARGIN]]/Table1[[#This Row],[G]]</f>
        <v>-10.941176470588236</v>
      </c>
    </row>
    <row r="213" spans="1:15" hidden="1" x14ac:dyDescent="0.2">
      <c r="A213" s="1">
        <v>95</v>
      </c>
      <c r="B213" s="2" t="s">
        <v>108</v>
      </c>
      <c r="C213" s="2" t="str">
        <f>IF(COUNTIF($X$3:$X$20,B213)&gt;0,$X$2,
 IF(COUNTIF($Y$3:$Y$20,B213)&gt;0,$Y$2,
 IF(COUNTIF($Z$3:$Z$20,B213)&gt;0,$Z$2,
 IF(COUNTIF($AA$3:$AA$20,B213)&gt;0,$AA$2,
 IF(COUNTIF($AB$3:$AB$20,B213)&gt;0,$AB$2,
 IF(COUNTIF($AC$3:$AC$20,B213)&gt;0,$AC$2,
 IF(COUNTIF($AD$3:$AD$20,B213)&gt;0,$AD$2,
 "Not Found")))))))</f>
        <v>Not Found</v>
      </c>
      <c r="D213" s="2" t="s">
        <v>10</v>
      </c>
      <c r="E213" s="2" t="s">
        <v>11</v>
      </c>
      <c r="F213" s="2">
        <v>143</v>
      </c>
      <c r="G213" s="4">
        <v>0.44800000000000001</v>
      </c>
      <c r="H213" s="2">
        <v>-286</v>
      </c>
      <c r="I213" s="2">
        <v>102.5</v>
      </c>
      <c r="J213" s="2">
        <v>105.3</v>
      </c>
      <c r="K213" s="4">
        <v>0.55100000000000005</v>
      </c>
      <c r="L213" s="4">
        <v>0.55500000000000005</v>
      </c>
      <c r="M213" s="2">
        <v>172</v>
      </c>
      <c r="N213" s="4">
        <v>0.73599999999999999</v>
      </c>
      <c r="O213" s="8">
        <f>Table1[[#This Row],[PT MARGIN]]/Table1[[#This Row],[G]]</f>
        <v>-2</v>
      </c>
    </row>
    <row r="214" spans="1:15" hidden="1" x14ac:dyDescent="0.2">
      <c r="A214" s="1">
        <v>297</v>
      </c>
      <c r="B214" s="2" t="s">
        <v>287</v>
      </c>
      <c r="C214" s="2" t="str">
        <f>IF(COUNTIF($X$3:$X$20,B214)&gt;0,$X$2,
 IF(COUNTIF($Y$3:$Y$20,B214)&gt;0,$Y$2,
 IF(COUNTIF($Z$3:$Z$20,B214)&gt;0,$Z$2,
 IF(COUNTIF($AA$3:$AA$20,B214)&gt;0,$AA$2,
 IF(COUNTIF($AB$3:$AB$20,B214)&gt;0,$AB$2,
 IF(COUNTIF($AC$3:$AC$20,B214)&gt;0,$AC$2,
 IF(COUNTIF($AD$3:$AD$20,B214)&gt;0,$AD$2,
 "Not Found")))))))</f>
        <v>Not Found</v>
      </c>
      <c r="D214" s="2" t="s">
        <v>10</v>
      </c>
      <c r="E214" s="2" t="s">
        <v>11</v>
      </c>
      <c r="F214" s="2">
        <v>146</v>
      </c>
      <c r="G214" s="4">
        <v>0.28799999999999998</v>
      </c>
      <c r="H214" s="2">
        <v>-1140</v>
      </c>
      <c r="I214" s="2">
        <v>95.6</v>
      </c>
      <c r="J214" s="2">
        <v>106.6</v>
      </c>
      <c r="K214" s="4">
        <v>0.51</v>
      </c>
      <c r="L214" s="4">
        <v>0.55500000000000005</v>
      </c>
      <c r="M214" s="2">
        <v>366</v>
      </c>
      <c r="N214" s="4">
        <v>0.70699999999999996</v>
      </c>
      <c r="O214" s="8">
        <f>Table1[[#This Row],[PT MARGIN]]/Table1[[#This Row],[G]]</f>
        <v>-7.8082191780821919</v>
      </c>
    </row>
    <row r="215" spans="1:15" hidden="1" x14ac:dyDescent="0.2">
      <c r="A215" s="1">
        <v>92</v>
      </c>
      <c r="B215" s="2" t="s">
        <v>104</v>
      </c>
      <c r="C215" s="2" t="str">
        <f>IF(COUNTIF($X$3:$X$20,B215)&gt;0,$X$2,
 IF(COUNTIF($Y$3:$Y$20,B215)&gt;0,$Y$2,
 IF(COUNTIF($Z$3:$Z$20,B215)&gt;0,$Z$2,
 IF(COUNTIF($AA$3:$AA$20,B215)&gt;0,$AA$2,
 IF(COUNTIF($AB$3:$AB$20,B215)&gt;0,$AB$2,
 IF(COUNTIF($AC$3:$AC$20,B215)&gt;0,$AC$2,
 IF(COUNTIF($AD$3:$AD$20,B215)&gt;0,$AD$2,
 "Not Found")))))))</f>
        <v>Not Found</v>
      </c>
      <c r="D215" s="2" t="s">
        <v>10</v>
      </c>
      <c r="E215" s="2" t="s">
        <v>11</v>
      </c>
      <c r="F215" s="2">
        <v>117</v>
      </c>
      <c r="G215" s="4">
        <v>0.40200000000000002</v>
      </c>
      <c r="H215" s="2">
        <v>-278</v>
      </c>
      <c r="I215" s="2">
        <v>100.8</v>
      </c>
      <c r="J215" s="2">
        <v>104.4</v>
      </c>
      <c r="K215" s="4">
        <v>0.53900000000000003</v>
      </c>
      <c r="L215" s="4">
        <v>0.55600000000000005</v>
      </c>
      <c r="M215" s="2">
        <v>30</v>
      </c>
      <c r="N215" s="4">
        <v>0.72399999999999998</v>
      </c>
      <c r="O215" s="8">
        <f>Table1[[#This Row],[PT MARGIN]]/Table1[[#This Row],[G]]</f>
        <v>-2.3760683760683761</v>
      </c>
    </row>
    <row r="216" spans="1:15" hidden="1" x14ac:dyDescent="0.2">
      <c r="A216" s="1">
        <v>86</v>
      </c>
      <c r="B216" s="2" t="s">
        <v>98</v>
      </c>
      <c r="C216" s="2" t="str">
        <f>IF(COUNTIF($X$3:$X$20,B216)&gt;0,$X$2,
 IF(COUNTIF($Y$3:$Y$20,B216)&gt;0,$Y$2,
 IF(COUNTIF($Z$3:$Z$20,B216)&gt;0,$Z$2,
 IF(COUNTIF($AA$3:$AA$20,B216)&gt;0,$AA$2,
 IF(COUNTIF($AB$3:$AB$20,B216)&gt;0,$AB$2,
 IF(COUNTIF($AC$3:$AC$20,B216)&gt;0,$AC$2,
 IF(COUNTIF($AD$3:$AD$20,B216)&gt;0,$AD$2,
 "Not Found")))))))</f>
        <v>Not Found</v>
      </c>
      <c r="D216" s="2" t="s">
        <v>10</v>
      </c>
      <c r="E216" s="2" t="s">
        <v>11</v>
      </c>
      <c r="F216" s="2">
        <v>139</v>
      </c>
      <c r="G216" s="4">
        <v>0.45300000000000001</v>
      </c>
      <c r="H216" s="2">
        <v>-236</v>
      </c>
      <c r="I216" s="2">
        <v>100.5</v>
      </c>
      <c r="J216" s="2">
        <v>102.9</v>
      </c>
      <c r="K216" s="4">
        <v>0.52700000000000002</v>
      </c>
      <c r="L216" s="4">
        <v>0.54</v>
      </c>
      <c r="M216" s="2">
        <v>223</v>
      </c>
      <c r="N216" s="4">
        <v>0.73099999999999998</v>
      </c>
      <c r="O216" s="8">
        <f>Table1[[#This Row],[PT MARGIN]]/Table1[[#This Row],[G]]</f>
        <v>-1.6978417266187051</v>
      </c>
    </row>
    <row r="217" spans="1:15" x14ac:dyDescent="0.2">
      <c r="A217" s="1">
        <v>156</v>
      </c>
      <c r="B217" s="2" t="s">
        <v>172</v>
      </c>
      <c r="C217" s="2" t="str">
        <f>IF(COUNTIF($X$3:$X$20,B217)&gt;0,$X$2,
 IF(COUNTIF($Y$3:$Y$20,B217)&gt;0,$Y$2,
 IF(COUNTIF($Z$3:$Z$20,B217)&gt;0,$Z$2,
 IF(COUNTIF($AA$3:$AA$20,B217)&gt;0,$AA$2,
 IF(COUNTIF($AB$3:$AB$20,B217)&gt;0,$AB$2,
 IF(COUNTIF($AC$3:$AC$20,B217)&gt;0,$AC$2,
 IF(COUNTIF($AD$3:$AD$20,B217)&gt;0,$AD$2,
 "Not Found")))))))</f>
        <v>Big 10</v>
      </c>
      <c r="D217" s="2" t="s">
        <v>10</v>
      </c>
      <c r="E217" s="2" t="s">
        <v>11</v>
      </c>
      <c r="F217" s="2">
        <v>109</v>
      </c>
      <c r="G217" s="4">
        <v>0.312</v>
      </c>
      <c r="H217" s="2">
        <v>-511</v>
      </c>
      <c r="I217" s="2">
        <v>98.4</v>
      </c>
      <c r="J217" s="2">
        <v>105.3</v>
      </c>
      <c r="K217" s="4">
        <v>0.51600000000000001</v>
      </c>
      <c r="L217" s="4">
        <v>0.55000000000000004</v>
      </c>
      <c r="M217" s="2">
        <v>393</v>
      </c>
      <c r="N217" s="4">
        <v>0.72</v>
      </c>
      <c r="O217" s="8">
        <f>Table1[[#This Row],[PT MARGIN]]/Table1[[#This Row],[G]]</f>
        <v>-4.6880733944954125</v>
      </c>
    </row>
    <row r="218" spans="1:15" hidden="1" x14ac:dyDescent="0.2">
      <c r="A218" s="1">
        <v>351</v>
      </c>
      <c r="B218" s="2" t="s">
        <v>233</v>
      </c>
      <c r="C218" s="2" t="str">
        <f>IF(COUNTIF($X$3:$X$20,B218)&gt;0,$X$2,
 IF(COUNTIF($Y$3:$Y$20,B218)&gt;0,$Y$2,
 IF(COUNTIF($Z$3:$Z$20,B218)&gt;0,$Z$2,
 IF(COUNTIF($AA$3:$AA$20,B218)&gt;0,$AA$2,
 IF(COUNTIF($AB$3:$AB$20,B218)&gt;0,$AB$2,
 IF(COUNTIF($AC$3:$AC$20,B218)&gt;0,$AC$2,
 IF(COUNTIF($AD$3:$AD$20,B218)&gt;0,$AD$2,
 "Not Found")))))))</f>
        <v>Not Found</v>
      </c>
      <c r="D218" s="2" t="s">
        <v>10</v>
      </c>
      <c r="E218" s="2" t="s">
        <v>11</v>
      </c>
      <c r="F218" s="2">
        <v>158</v>
      </c>
      <c r="G218" s="4">
        <v>0.27200000000000002</v>
      </c>
      <c r="H218" s="2">
        <v>-1774</v>
      </c>
      <c r="I218" s="2">
        <v>94.2</v>
      </c>
      <c r="J218" s="2">
        <v>109.6</v>
      </c>
      <c r="K218" s="4">
        <v>0.51</v>
      </c>
      <c r="L218" s="4">
        <v>0.56200000000000006</v>
      </c>
      <c r="M218" s="2">
        <v>306</v>
      </c>
      <c r="N218" s="4">
        <v>0.71299999999999997</v>
      </c>
      <c r="O218" s="8">
        <f>Table1[[#This Row],[PT MARGIN]]/Table1[[#This Row],[G]]</f>
        <v>-11.227848101265822</v>
      </c>
    </row>
    <row r="219" spans="1:15" x14ac:dyDescent="0.2">
      <c r="A219" s="1">
        <v>124</v>
      </c>
      <c r="B219" s="2" t="s">
        <v>140</v>
      </c>
      <c r="C219" s="2" t="str">
        <f>IF(COUNTIF($X$3:$X$20,B219)&gt;0,$X$2,
 IF(COUNTIF($Y$3:$Y$20,B219)&gt;0,$Y$2,
 IF(COUNTIF($Z$3:$Z$20,B219)&gt;0,$Z$2,
 IF(COUNTIF($AA$3:$AA$20,B219)&gt;0,$AA$2,
 IF(COUNTIF($AB$3:$AB$20,B219)&gt;0,$AB$2,
 IF(COUNTIF($AC$3:$AC$20,B219)&gt;0,$AC$2,
 IF(COUNTIF($AD$3:$AD$20,B219)&gt;0,$AD$2,
 "Not Found")))))))</f>
        <v>ACC</v>
      </c>
      <c r="D219" s="2" t="s">
        <v>10</v>
      </c>
      <c r="E219" s="2" t="s">
        <v>11</v>
      </c>
      <c r="F219" s="2">
        <v>110</v>
      </c>
      <c r="G219" s="4">
        <v>0.32700000000000001</v>
      </c>
      <c r="H219" s="2">
        <v>-389</v>
      </c>
      <c r="I219" s="2">
        <v>102.3</v>
      </c>
      <c r="J219" s="2">
        <v>107.6</v>
      </c>
      <c r="K219" s="4">
        <v>0.53500000000000003</v>
      </c>
      <c r="L219" s="4">
        <v>0.53800000000000003</v>
      </c>
      <c r="M219" s="2">
        <v>-1</v>
      </c>
      <c r="N219" s="4">
        <v>0.73399999999999999</v>
      </c>
      <c r="O219" s="8">
        <f>Table1[[#This Row],[PT MARGIN]]/Table1[[#This Row],[G]]</f>
        <v>-3.5363636363636362</v>
      </c>
    </row>
    <row r="220" spans="1:15" hidden="1" x14ac:dyDescent="0.2">
      <c r="A220" s="1">
        <v>103</v>
      </c>
      <c r="B220" s="2" t="s">
        <v>117</v>
      </c>
      <c r="C220" s="2" t="str">
        <f>IF(COUNTIF($X$3:$X$20,B220)&gt;0,$X$2,
 IF(COUNTIF($Y$3:$Y$20,B220)&gt;0,$Y$2,
 IF(COUNTIF($Z$3:$Z$20,B220)&gt;0,$Z$2,
 IF(COUNTIF($AA$3:$AA$20,B220)&gt;0,$AA$2,
 IF(COUNTIF($AB$3:$AB$20,B220)&gt;0,$AB$2,
 IF(COUNTIF($AC$3:$AC$20,B220)&gt;0,$AC$2,
 IF(COUNTIF($AD$3:$AD$20,B220)&gt;0,$AD$2,
 "Not Found")))))))</f>
        <v>Not Found</v>
      </c>
      <c r="D220" s="2" t="s">
        <v>10</v>
      </c>
      <c r="E220" s="2" t="s">
        <v>11</v>
      </c>
      <c r="F220" s="2">
        <v>151</v>
      </c>
      <c r="G220" s="4">
        <v>0.46400000000000002</v>
      </c>
      <c r="H220" s="2">
        <v>-323</v>
      </c>
      <c r="I220" s="2">
        <v>102.2</v>
      </c>
      <c r="J220" s="2">
        <v>105.2</v>
      </c>
      <c r="K220" s="4">
        <v>0.53400000000000003</v>
      </c>
      <c r="L220" s="4">
        <v>0.54</v>
      </c>
      <c r="M220" s="2">
        <v>-165</v>
      </c>
      <c r="N220" s="4">
        <v>0.70899999999999996</v>
      </c>
      <c r="O220" s="8">
        <f>Table1[[#This Row],[PT MARGIN]]/Table1[[#This Row],[G]]</f>
        <v>-2.1390728476821192</v>
      </c>
    </row>
    <row r="221" spans="1:15" hidden="1" x14ac:dyDescent="0.2">
      <c r="A221" s="1">
        <v>125</v>
      </c>
      <c r="B221" s="2" t="s">
        <v>141</v>
      </c>
      <c r="C221" s="2" t="str">
        <f>IF(COUNTIF($X$3:$X$20,B221)&gt;0,$X$2,
 IF(COUNTIF($Y$3:$Y$20,B221)&gt;0,$Y$2,
 IF(COUNTIF($Z$3:$Z$20,B221)&gt;0,$Z$2,
 IF(COUNTIF($AA$3:$AA$20,B221)&gt;0,$AA$2,
 IF(COUNTIF($AB$3:$AB$20,B221)&gt;0,$AB$2,
 IF(COUNTIF($AC$3:$AC$20,B221)&gt;0,$AC$2,
 IF(COUNTIF($AD$3:$AD$20,B221)&gt;0,$AD$2,
 "Not Found")))))))</f>
        <v>Not Found</v>
      </c>
      <c r="D221" s="2" t="s">
        <v>10</v>
      </c>
      <c r="E221" s="2" t="s">
        <v>11</v>
      </c>
      <c r="F221" s="2">
        <v>121</v>
      </c>
      <c r="G221" s="4">
        <v>0.372</v>
      </c>
      <c r="H221" s="2">
        <v>-400</v>
      </c>
      <c r="I221" s="2">
        <v>101.2</v>
      </c>
      <c r="J221" s="2">
        <v>105.8</v>
      </c>
      <c r="K221" s="4">
        <v>0.53400000000000003</v>
      </c>
      <c r="L221" s="4">
        <v>0.55700000000000005</v>
      </c>
      <c r="M221" s="2">
        <v>116</v>
      </c>
      <c r="N221" s="4">
        <v>0.73299999999999998</v>
      </c>
      <c r="O221" s="8">
        <f>Table1[[#This Row],[PT MARGIN]]/Table1[[#This Row],[G]]</f>
        <v>-3.3057851239669422</v>
      </c>
    </row>
    <row r="222" spans="1:15" x14ac:dyDescent="0.2">
      <c r="A222" s="1">
        <v>120</v>
      </c>
      <c r="B222" s="2" t="s">
        <v>136</v>
      </c>
      <c r="C222" s="2" t="str">
        <f>IF(COUNTIF($X$3:$X$20,B222)&gt;0,$X$2,
 IF(COUNTIF($Y$3:$Y$20,B222)&gt;0,$Y$2,
 IF(COUNTIF($Z$3:$Z$20,B222)&gt;0,$Z$2,
 IF(COUNTIF($AA$3:$AA$20,B222)&gt;0,$AA$2,
 IF(COUNTIF($AB$3:$AB$20,B222)&gt;0,$AB$2,
 IF(COUNTIF($AC$3:$AC$20,B222)&gt;0,$AC$2,
 IF(COUNTIF($AD$3:$AD$20,B222)&gt;0,$AD$2,
 "Not Found")))))))</f>
        <v>Big 10</v>
      </c>
      <c r="D222" s="2" t="s">
        <v>10</v>
      </c>
      <c r="E222" s="2" t="s">
        <v>11</v>
      </c>
      <c r="F222" s="2">
        <v>105</v>
      </c>
      <c r="G222" s="4">
        <v>0.39</v>
      </c>
      <c r="H222" s="2">
        <v>-377</v>
      </c>
      <c r="I222" s="2">
        <v>101.1</v>
      </c>
      <c r="J222" s="2">
        <v>106.4</v>
      </c>
      <c r="K222" s="4">
        <v>0.52600000000000002</v>
      </c>
      <c r="L222" s="4">
        <v>0.54300000000000004</v>
      </c>
      <c r="M222" s="2">
        <v>227</v>
      </c>
      <c r="N222" s="4">
        <v>0.71199999999999997</v>
      </c>
      <c r="O222" s="8">
        <f>Table1[[#This Row],[PT MARGIN]]/Table1[[#This Row],[G]]</f>
        <v>-3.5904761904761906</v>
      </c>
    </row>
    <row r="223" spans="1:15" x14ac:dyDescent="0.2">
      <c r="A223" s="1">
        <v>186</v>
      </c>
      <c r="B223" s="2" t="s">
        <v>202</v>
      </c>
      <c r="C223" s="2" t="str">
        <f>IF(COUNTIF($X$3:$X$20,B223)&gt;0,$X$2,
 IF(COUNTIF($Y$3:$Y$20,B223)&gt;0,$Y$2,
 IF(COUNTIF($Z$3:$Z$20,B223)&gt;0,$Z$2,
 IF(COUNTIF($AA$3:$AA$20,B223)&gt;0,$AA$2,
 IF(COUNTIF($AB$3:$AB$20,B223)&gt;0,$AB$2,
 IF(COUNTIF($AC$3:$AC$20,B223)&gt;0,$AC$2,
 IF(COUNTIF($AD$3:$AD$20,B223)&gt;0,$AD$2,
 "Not Found")))))))</f>
        <v>SEC</v>
      </c>
      <c r="D223" s="2" t="s">
        <v>10</v>
      </c>
      <c r="E223" s="2" t="s">
        <v>11</v>
      </c>
      <c r="F223" s="2">
        <v>106</v>
      </c>
      <c r="G223" s="4">
        <v>0.311</v>
      </c>
      <c r="H223" s="2">
        <v>-611</v>
      </c>
      <c r="I223" s="2">
        <v>99</v>
      </c>
      <c r="J223" s="2">
        <v>107.2</v>
      </c>
      <c r="K223" s="4">
        <v>0.52800000000000002</v>
      </c>
      <c r="L223" s="4">
        <v>0.54800000000000004</v>
      </c>
      <c r="M223" s="2">
        <v>150</v>
      </c>
      <c r="N223" s="4">
        <v>0.72599999999999998</v>
      </c>
      <c r="O223" s="8">
        <f>Table1[[#This Row],[PT MARGIN]]/Table1[[#This Row],[G]]</f>
        <v>-5.7641509433962268</v>
      </c>
    </row>
    <row r="224" spans="1:15" x14ac:dyDescent="0.2">
      <c r="A224" s="1">
        <v>168</v>
      </c>
      <c r="B224" s="2" t="s">
        <v>184</v>
      </c>
      <c r="C224" s="2" t="str">
        <f>IF(COUNTIF($X$3:$X$20,B224)&gt;0,$X$2,
 IF(COUNTIF($Y$3:$Y$20,B224)&gt;0,$Y$2,
 IF(COUNTIF($Z$3:$Z$20,B224)&gt;0,$Z$2,
 IF(COUNTIF($AA$3:$AA$20,B224)&gt;0,$AA$2,
 IF(COUNTIF($AB$3:$AB$20,B224)&gt;0,$AB$2,
 IF(COUNTIF($AC$3:$AC$20,B224)&gt;0,$AC$2,
 IF(COUNTIF($AD$3:$AD$20,B224)&gt;0,$AD$2,
 "Not Found")))))))</f>
        <v>Big 12</v>
      </c>
      <c r="D224" s="2" t="s">
        <v>10</v>
      </c>
      <c r="E224" s="2" t="s">
        <v>11</v>
      </c>
      <c r="F224" s="2">
        <v>112</v>
      </c>
      <c r="G224" s="4">
        <v>0.32100000000000001</v>
      </c>
      <c r="H224" s="2">
        <v>-561</v>
      </c>
      <c r="I224" s="2">
        <v>97.9</v>
      </c>
      <c r="J224" s="2">
        <v>105.1</v>
      </c>
      <c r="K224" s="4">
        <v>0.52400000000000002</v>
      </c>
      <c r="L224" s="4">
        <v>0.54600000000000004</v>
      </c>
      <c r="M224" s="2">
        <v>305</v>
      </c>
      <c r="N224" s="4">
        <v>0.72299999999999998</v>
      </c>
      <c r="O224" s="8">
        <f>Table1[[#This Row],[PT MARGIN]]/Table1[[#This Row],[G]]</f>
        <v>-5.0089285714285712</v>
      </c>
    </row>
    <row r="225" spans="1:15" hidden="1" x14ac:dyDescent="0.2">
      <c r="A225" s="1">
        <v>123</v>
      </c>
      <c r="B225" s="2" t="s">
        <v>139</v>
      </c>
      <c r="C225" s="2" t="str">
        <f>IF(COUNTIF($X$3:$X$20,B225)&gt;0,$X$2,
 IF(COUNTIF($Y$3:$Y$20,B225)&gt;0,$Y$2,
 IF(COUNTIF($Z$3:$Z$20,B225)&gt;0,$Z$2,
 IF(COUNTIF($AA$3:$AA$20,B225)&gt;0,$AA$2,
 IF(COUNTIF($AB$3:$AB$20,B225)&gt;0,$AB$2,
 IF(COUNTIF($AC$3:$AC$20,B225)&gt;0,$AC$2,
 IF(COUNTIF($AD$3:$AD$20,B225)&gt;0,$AD$2,
 "Not Found")))))))</f>
        <v>Not Found</v>
      </c>
      <c r="D225" s="2" t="s">
        <v>10</v>
      </c>
      <c r="E225" s="2" t="s">
        <v>11</v>
      </c>
      <c r="F225" s="2">
        <v>126</v>
      </c>
      <c r="G225" s="4">
        <v>0.44400000000000001</v>
      </c>
      <c r="H225" s="2">
        <v>-382</v>
      </c>
      <c r="I225" s="2">
        <v>98.1</v>
      </c>
      <c r="J225" s="2">
        <v>102.6</v>
      </c>
      <c r="K225" s="4">
        <v>0.50600000000000001</v>
      </c>
      <c r="L225" s="4">
        <v>0.54</v>
      </c>
      <c r="M225" s="2">
        <v>303</v>
      </c>
      <c r="N225" s="4">
        <v>0.71399999999999997</v>
      </c>
      <c r="O225" s="8">
        <f>Table1[[#This Row],[PT MARGIN]]/Table1[[#This Row],[G]]</f>
        <v>-3.0317460317460316</v>
      </c>
    </row>
    <row r="226" spans="1:15" hidden="1" x14ac:dyDescent="0.2">
      <c r="A226" s="1">
        <v>170</v>
      </c>
      <c r="B226" s="2" t="s">
        <v>186</v>
      </c>
      <c r="C226" s="2" t="str">
        <f>IF(COUNTIF($X$3:$X$20,B226)&gt;0,$X$2,
 IF(COUNTIF($Y$3:$Y$20,B226)&gt;0,$Y$2,
 IF(COUNTIF($Z$3:$Z$20,B226)&gt;0,$Z$2,
 IF(COUNTIF($AA$3:$AA$20,B226)&gt;0,$AA$2,
 IF(COUNTIF($AB$3:$AB$20,B226)&gt;0,$AB$2,
 IF(COUNTIF($AC$3:$AC$20,B226)&gt;0,$AC$2,
 IF(COUNTIF($AD$3:$AD$20,B226)&gt;0,$AD$2,
 "Not Found")))))))</f>
        <v>Not Found</v>
      </c>
      <c r="D226" s="2" t="s">
        <v>10</v>
      </c>
      <c r="E226" s="2" t="s">
        <v>11</v>
      </c>
      <c r="F226" s="2">
        <v>110</v>
      </c>
      <c r="G226" s="4">
        <v>0.33600000000000002</v>
      </c>
      <c r="H226" s="2">
        <v>-567</v>
      </c>
      <c r="I226" s="2">
        <v>98.4</v>
      </c>
      <c r="J226" s="2">
        <v>105.8</v>
      </c>
      <c r="K226" s="4">
        <v>0.51200000000000001</v>
      </c>
      <c r="L226" s="4">
        <v>0.55300000000000005</v>
      </c>
      <c r="M226" s="2">
        <v>203</v>
      </c>
      <c r="N226" s="4">
        <v>0.69699999999999995</v>
      </c>
      <c r="O226" s="8">
        <f>Table1[[#This Row],[PT MARGIN]]/Table1[[#This Row],[G]]</f>
        <v>-5.1545454545454543</v>
      </c>
    </row>
    <row r="227" spans="1:15" hidden="1" x14ac:dyDescent="0.2">
      <c r="A227" s="1">
        <v>339</v>
      </c>
      <c r="B227" s="2" t="s">
        <v>245</v>
      </c>
      <c r="C227" s="2" t="str">
        <f>IF(COUNTIF($X$3:$X$20,B227)&gt;0,$X$2,
 IF(COUNTIF($Y$3:$Y$20,B227)&gt;0,$Y$2,
 IF(COUNTIF($Z$3:$Z$20,B227)&gt;0,$Z$2,
 IF(COUNTIF($AA$3:$AA$20,B227)&gt;0,$AA$2,
 IF(COUNTIF($AB$3:$AB$20,B227)&gt;0,$AB$2,
 IF(COUNTIF($AC$3:$AC$20,B227)&gt;0,$AC$2,
 IF(COUNTIF($AD$3:$AD$20,B227)&gt;0,$AD$2,
 "Not Found")))))))</f>
        <v>Not Found</v>
      </c>
      <c r="D227" s="2" t="s">
        <v>10</v>
      </c>
      <c r="E227" s="2" t="s">
        <v>11</v>
      </c>
      <c r="F227" s="2">
        <v>158</v>
      </c>
      <c r="G227" s="4">
        <v>0.26600000000000001</v>
      </c>
      <c r="H227" s="2">
        <v>-1551</v>
      </c>
      <c r="I227" s="2">
        <v>98.3</v>
      </c>
      <c r="J227" s="2">
        <v>111.7</v>
      </c>
      <c r="K227" s="4">
        <v>0.52200000000000002</v>
      </c>
      <c r="L227" s="4">
        <v>0.58099999999999996</v>
      </c>
      <c r="M227" s="2">
        <v>258</v>
      </c>
      <c r="N227" s="4">
        <v>0.74099999999999999</v>
      </c>
      <c r="O227" s="8">
        <f>Table1[[#This Row],[PT MARGIN]]/Table1[[#This Row],[G]]</f>
        <v>-9.8164556962025316</v>
      </c>
    </row>
    <row r="228" spans="1:15" hidden="1" x14ac:dyDescent="0.2">
      <c r="A228" s="1">
        <v>277</v>
      </c>
      <c r="B228" s="2" t="s">
        <v>307</v>
      </c>
      <c r="C228" s="2" t="str">
        <f>IF(COUNTIF($X$3:$X$20,B228)&gt;0,$X$2,
 IF(COUNTIF($Y$3:$Y$20,B228)&gt;0,$Y$2,
 IF(COUNTIF($Z$3:$Z$20,B228)&gt;0,$Z$2,
 IF(COUNTIF($AA$3:$AA$20,B228)&gt;0,$AA$2,
 IF(COUNTIF($AB$3:$AB$20,B228)&gt;0,$AB$2,
 IF(COUNTIF($AC$3:$AC$20,B228)&gt;0,$AC$2,
 IF(COUNTIF($AD$3:$AD$20,B228)&gt;0,$AD$2,
 "Not Found")))))))</f>
        <v>Not Found</v>
      </c>
      <c r="D228" s="2" t="s">
        <v>10</v>
      </c>
      <c r="E228" s="2" t="s">
        <v>11</v>
      </c>
      <c r="F228" s="2">
        <v>149</v>
      </c>
      <c r="G228" s="4">
        <v>0.26800000000000002</v>
      </c>
      <c r="H228" s="2">
        <v>-1018</v>
      </c>
      <c r="I228" s="2">
        <v>102.4</v>
      </c>
      <c r="J228" s="2">
        <v>112</v>
      </c>
      <c r="K228" s="4">
        <v>0.53600000000000003</v>
      </c>
      <c r="L228" s="4">
        <v>0.56699999999999995</v>
      </c>
      <c r="M228" s="2">
        <v>389</v>
      </c>
      <c r="N228" s="4">
        <v>0.73799999999999999</v>
      </c>
      <c r="O228" s="8">
        <f>Table1[[#This Row],[PT MARGIN]]/Table1[[#This Row],[G]]</f>
        <v>-6.8322147651006713</v>
      </c>
    </row>
    <row r="229" spans="1:15" x14ac:dyDescent="0.2">
      <c r="A229" s="1">
        <v>59</v>
      </c>
      <c r="B229" s="2" t="s">
        <v>69</v>
      </c>
      <c r="C229" s="2" t="str">
        <f>IF(COUNTIF($X$3:$X$20,B229)&gt;0,$X$2,
 IF(COUNTIF($Y$3:$Y$20,B229)&gt;0,$Y$2,
 IF(COUNTIF($Z$3:$Z$20,B229)&gt;0,$Z$2,
 IF(COUNTIF($AA$3:$AA$20,B229)&gt;0,$AA$2,
 IF(COUNTIF($AB$3:$AB$20,B229)&gt;0,$AB$2,
 IF(COUNTIF($AC$3:$AC$20,B229)&gt;0,$AC$2,
 IF(COUNTIF($AD$3:$AD$20,B229)&gt;0,$AD$2,
 "Not Found")))))))</f>
        <v>Big 10</v>
      </c>
      <c r="D229" s="2" t="s">
        <v>10</v>
      </c>
      <c r="E229" s="2" t="s">
        <v>11</v>
      </c>
      <c r="F229" s="2">
        <v>103</v>
      </c>
      <c r="G229" s="4">
        <v>0.53400000000000003</v>
      </c>
      <c r="H229" s="2">
        <v>-85</v>
      </c>
      <c r="I229" s="2">
        <v>103.7</v>
      </c>
      <c r="J229" s="2">
        <v>104.9</v>
      </c>
      <c r="K229" s="4">
        <v>0.53500000000000003</v>
      </c>
      <c r="L229" s="4">
        <v>0.55100000000000005</v>
      </c>
      <c r="M229" s="2">
        <v>135</v>
      </c>
      <c r="N229" s="4">
        <v>0.71599999999999997</v>
      </c>
      <c r="O229" s="8">
        <f>Table1[[#This Row],[PT MARGIN]]/Table1[[#This Row],[G]]</f>
        <v>-0.82524271844660191</v>
      </c>
    </row>
    <row r="230" spans="1:15" hidden="1" x14ac:dyDescent="0.2">
      <c r="A230" s="1">
        <v>253</v>
      </c>
      <c r="B230" s="2" t="s">
        <v>331</v>
      </c>
      <c r="C230" s="2" t="str">
        <f>IF(COUNTIF($X$3:$X$20,B230)&gt;0,$X$2,
 IF(COUNTIF($Y$3:$Y$20,B230)&gt;0,$Y$2,
 IF(COUNTIF($Z$3:$Z$20,B230)&gt;0,$Z$2,
 IF(COUNTIF($AA$3:$AA$20,B230)&gt;0,$AA$2,
 IF(COUNTIF($AB$3:$AB$20,B230)&gt;0,$AB$2,
 IF(COUNTIF($AC$3:$AC$20,B230)&gt;0,$AC$2,
 IF(COUNTIF($AD$3:$AD$20,B230)&gt;0,$AD$2,
 "Not Found")))))))</f>
        <v>Not Found</v>
      </c>
      <c r="D230" s="2" t="s">
        <v>10</v>
      </c>
      <c r="E230" s="2" t="s">
        <v>11</v>
      </c>
      <c r="F230" s="2">
        <v>109</v>
      </c>
      <c r="G230" s="4">
        <v>0.21099999999999999</v>
      </c>
      <c r="H230" s="2">
        <v>-900</v>
      </c>
      <c r="I230" s="2">
        <v>97.5</v>
      </c>
      <c r="J230" s="2">
        <v>109.8</v>
      </c>
      <c r="K230" s="4">
        <v>0.52200000000000002</v>
      </c>
      <c r="L230" s="4">
        <v>0.56699999999999995</v>
      </c>
      <c r="M230" s="2">
        <v>278</v>
      </c>
      <c r="N230" s="4">
        <v>0.72199999999999998</v>
      </c>
      <c r="O230" s="8">
        <f>Table1[[#This Row],[PT MARGIN]]/Table1[[#This Row],[G]]</f>
        <v>-8.2568807339449535</v>
      </c>
    </row>
    <row r="231" spans="1:15" hidden="1" x14ac:dyDescent="0.2">
      <c r="A231" s="1">
        <v>304</v>
      </c>
      <c r="B231" s="2" t="s">
        <v>280</v>
      </c>
      <c r="C231" s="2" t="str">
        <f>IF(COUNTIF($X$3:$X$20,B231)&gt;0,$X$2,
 IF(COUNTIF($Y$3:$Y$20,B231)&gt;0,$Y$2,
 IF(COUNTIF($Z$3:$Z$20,B231)&gt;0,$Z$2,
 IF(COUNTIF($AA$3:$AA$20,B231)&gt;0,$AA$2,
 IF(COUNTIF($AB$3:$AB$20,B231)&gt;0,$AB$2,
 IF(COUNTIF($AC$3:$AC$20,B231)&gt;0,$AC$2,
 IF(COUNTIF($AD$3:$AD$20,B231)&gt;0,$AD$2,
 "Not Found")))))))</f>
        <v>Not Found</v>
      </c>
      <c r="D231" s="2" t="s">
        <v>10</v>
      </c>
      <c r="E231" s="2" t="s">
        <v>11</v>
      </c>
      <c r="F231" s="2">
        <v>134</v>
      </c>
      <c r="G231" s="4">
        <v>0.26100000000000001</v>
      </c>
      <c r="H231" s="2">
        <v>-1206</v>
      </c>
      <c r="I231" s="2">
        <v>95.2</v>
      </c>
      <c r="J231" s="2">
        <v>108.1</v>
      </c>
      <c r="K231" s="4">
        <v>0.505</v>
      </c>
      <c r="L231" s="4">
        <v>0.56999999999999995</v>
      </c>
      <c r="M231" s="2">
        <v>238</v>
      </c>
      <c r="N231" s="4">
        <v>0.73099999999999998</v>
      </c>
      <c r="O231" s="8">
        <f>Table1[[#This Row],[PT MARGIN]]/Table1[[#This Row],[G]]</f>
        <v>-9</v>
      </c>
    </row>
    <row r="232" spans="1:15" x14ac:dyDescent="0.2">
      <c r="A232" s="1">
        <v>167</v>
      </c>
      <c r="B232" s="2" t="s">
        <v>183</v>
      </c>
      <c r="C232" s="2" t="str">
        <f>IF(COUNTIF($X$3:$X$20,B232)&gt;0,$X$2,
 IF(COUNTIF($Y$3:$Y$20,B232)&gt;0,$Y$2,
 IF(COUNTIF($Z$3:$Z$20,B232)&gt;0,$Z$2,
 IF(COUNTIF($AA$3:$AA$20,B232)&gt;0,$AA$2,
 IF(COUNTIF($AB$3:$AB$20,B232)&gt;0,$AB$2,
 IF(COUNTIF($AC$3:$AC$20,B232)&gt;0,$AC$2,
 IF(COUNTIF($AD$3:$AD$20,B232)&gt;0,$AD$2,
 "Not Found")))))))</f>
        <v>Big 10</v>
      </c>
      <c r="D232" s="2" t="s">
        <v>10</v>
      </c>
      <c r="E232" s="2" t="s">
        <v>11</v>
      </c>
      <c r="F232" s="2">
        <v>110</v>
      </c>
      <c r="G232" s="4">
        <v>0.29099999999999998</v>
      </c>
      <c r="H232" s="2">
        <v>-559</v>
      </c>
      <c r="I232" s="2">
        <v>97.7</v>
      </c>
      <c r="J232" s="2">
        <v>105</v>
      </c>
      <c r="K232" s="4">
        <v>0.51400000000000001</v>
      </c>
      <c r="L232" s="4">
        <v>0.54900000000000004</v>
      </c>
      <c r="M232" s="2">
        <v>326</v>
      </c>
      <c r="N232" s="4">
        <v>0.71899999999999997</v>
      </c>
      <c r="O232" s="8">
        <f>Table1[[#This Row],[PT MARGIN]]/Table1[[#This Row],[G]]</f>
        <v>-5.081818181818182</v>
      </c>
    </row>
    <row r="233" spans="1:15" hidden="1" x14ac:dyDescent="0.2">
      <c r="A233" s="1">
        <v>144</v>
      </c>
      <c r="B233" s="2" t="s">
        <v>160</v>
      </c>
      <c r="C233" s="2" t="str">
        <f>IF(COUNTIF($X$3:$X$20,B233)&gt;0,$X$2,
 IF(COUNTIF($Y$3:$Y$20,B233)&gt;0,$Y$2,
 IF(COUNTIF($Z$3:$Z$20,B233)&gt;0,$Z$2,
 IF(COUNTIF($AA$3:$AA$20,B233)&gt;0,$AA$2,
 IF(COUNTIF($AB$3:$AB$20,B233)&gt;0,$AB$2,
 IF(COUNTIF($AC$3:$AC$20,B233)&gt;0,$AC$2,
 IF(COUNTIF($AD$3:$AD$20,B233)&gt;0,$AD$2,
 "Not Found")))))))</f>
        <v>Not Found</v>
      </c>
      <c r="D233" s="2" t="s">
        <v>10</v>
      </c>
      <c r="E233" s="2" t="s">
        <v>11</v>
      </c>
      <c r="F233" s="2">
        <v>121</v>
      </c>
      <c r="G233" s="4">
        <v>0.39700000000000002</v>
      </c>
      <c r="H233" s="2">
        <v>-468</v>
      </c>
      <c r="I233" s="2">
        <v>98.8</v>
      </c>
      <c r="J233" s="2">
        <v>104.3</v>
      </c>
      <c r="K233" s="4">
        <v>0.52800000000000002</v>
      </c>
      <c r="L233" s="4">
        <v>0.53600000000000003</v>
      </c>
      <c r="M233" s="2">
        <v>123</v>
      </c>
      <c r="N233" s="4">
        <v>0.71199999999999997</v>
      </c>
      <c r="O233" s="8">
        <f>Table1[[#This Row],[PT MARGIN]]/Table1[[#This Row],[G]]</f>
        <v>-3.8677685950413223</v>
      </c>
    </row>
    <row r="234" spans="1:15" hidden="1" x14ac:dyDescent="0.2">
      <c r="A234" s="1">
        <v>314</v>
      </c>
      <c r="B234" s="2" t="s">
        <v>270</v>
      </c>
      <c r="C234" s="2" t="str">
        <f>IF(COUNTIF($X$3:$X$20,B234)&gt;0,$X$2,
 IF(COUNTIF($Y$3:$Y$20,B234)&gt;0,$Y$2,
 IF(COUNTIF($Z$3:$Z$20,B234)&gt;0,$Z$2,
 IF(COUNTIF($AA$3:$AA$20,B234)&gt;0,$AA$2,
 IF(COUNTIF($AB$3:$AB$20,B234)&gt;0,$AB$2,
 IF(COUNTIF($AC$3:$AC$20,B234)&gt;0,$AC$2,
 IF(COUNTIF($AD$3:$AD$20,B234)&gt;0,$AD$2,
 "Not Found")))))))</f>
        <v>Not Found</v>
      </c>
      <c r="D234" s="2" t="s">
        <v>10</v>
      </c>
      <c r="E234" s="2" t="s">
        <v>11</v>
      </c>
      <c r="F234" s="2">
        <v>123</v>
      </c>
      <c r="G234" s="4">
        <v>0.187</v>
      </c>
      <c r="H234" s="2">
        <v>-1273</v>
      </c>
      <c r="I234" s="2">
        <v>98.1</v>
      </c>
      <c r="J234" s="2">
        <v>112.5</v>
      </c>
      <c r="K234" s="4">
        <v>0.52400000000000002</v>
      </c>
      <c r="L234" s="4">
        <v>0.58199999999999996</v>
      </c>
      <c r="M234" s="2">
        <v>-26</v>
      </c>
      <c r="N234" s="4">
        <v>0.72399999999999998</v>
      </c>
      <c r="O234" s="8">
        <f>Table1[[#This Row],[PT MARGIN]]/Table1[[#This Row],[G]]</f>
        <v>-10.349593495934959</v>
      </c>
    </row>
    <row r="235" spans="1:15" x14ac:dyDescent="0.2">
      <c r="A235" s="1">
        <v>194</v>
      </c>
      <c r="B235" s="2" t="s">
        <v>210</v>
      </c>
      <c r="C235" s="2" t="str">
        <f>IF(COUNTIF($X$3:$X$20,B235)&gt;0,$X$2,
 IF(COUNTIF($Y$3:$Y$20,B235)&gt;0,$Y$2,
 IF(COUNTIF($Z$3:$Z$20,B235)&gt;0,$Z$2,
 IF(COUNTIF($AA$3:$AA$20,B235)&gt;0,$AA$2,
 IF(COUNTIF($AB$3:$AB$20,B235)&gt;0,$AB$2,
 IF(COUNTIF($AC$3:$AC$20,B235)&gt;0,$AC$2,
 IF(COUNTIF($AD$3:$AD$20,B235)&gt;0,$AD$2,
 "Not Found")))))))</f>
        <v>ACC</v>
      </c>
      <c r="D235" s="2" t="s">
        <v>10</v>
      </c>
      <c r="E235" s="2" t="s">
        <v>11</v>
      </c>
      <c r="F235" s="2">
        <v>106</v>
      </c>
      <c r="G235" s="4">
        <v>0.28299999999999997</v>
      </c>
      <c r="H235" s="2">
        <v>-627</v>
      </c>
      <c r="I235" s="2">
        <v>98.2</v>
      </c>
      <c r="J235" s="2">
        <v>107</v>
      </c>
      <c r="K235" s="4">
        <v>0.51400000000000001</v>
      </c>
      <c r="L235" s="4">
        <v>0.55900000000000005</v>
      </c>
      <c r="M235" s="2">
        <v>75</v>
      </c>
      <c r="N235" s="4">
        <v>0.71899999999999997</v>
      </c>
      <c r="O235" s="8">
        <f>Table1[[#This Row],[PT MARGIN]]/Table1[[#This Row],[G]]</f>
        <v>-5.9150943396226419</v>
      </c>
    </row>
    <row r="236" spans="1:15" hidden="1" x14ac:dyDescent="0.2">
      <c r="A236" s="1">
        <v>311</v>
      </c>
      <c r="B236" s="2" t="s">
        <v>273</v>
      </c>
      <c r="C236" s="2" t="str">
        <f>IF(COUNTIF($X$3:$X$20,B236)&gt;0,$X$2,
 IF(COUNTIF($Y$3:$Y$20,B236)&gt;0,$Y$2,
 IF(COUNTIF($Z$3:$Z$20,B236)&gt;0,$Z$2,
 IF(COUNTIF($AA$3:$AA$20,B236)&gt;0,$AA$2,
 IF(COUNTIF($AB$3:$AB$20,B236)&gt;0,$AB$2,
 IF(COUNTIF($AC$3:$AC$20,B236)&gt;0,$AC$2,
 IF(COUNTIF($AD$3:$AD$20,B236)&gt;0,$AD$2,
 "Not Found")))))))</f>
        <v>Not Found</v>
      </c>
      <c r="D236" s="2" t="s">
        <v>10</v>
      </c>
      <c r="E236" s="2" t="s">
        <v>11</v>
      </c>
      <c r="F236" s="2">
        <v>117</v>
      </c>
      <c r="G236" s="4">
        <v>0.214</v>
      </c>
      <c r="H236" s="2">
        <v>-1258</v>
      </c>
      <c r="I236" s="2">
        <v>95.2</v>
      </c>
      <c r="J236" s="2">
        <v>110.3</v>
      </c>
      <c r="K236" s="4">
        <v>0.52</v>
      </c>
      <c r="L236" s="4">
        <v>0.56200000000000006</v>
      </c>
      <c r="M236" s="2">
        <v>-146</v>
      </c>
      <c r="N236" s="4">
        <v>0.70499999999999996</v>
      </c>
      <c r="O236" s="8">
        <f>Table1[[#This Row],[PT MARGIN]]/Table1[[#This Row],[G]]</f>
        <v>-10.752136752136753</v>
      </c>
    </row>
    <row r="237" spans="1:15" hidden="1" x14ac:dyDescent="0.2">
      <c r="A237" s="1">
        <v>180</v>
      </c>
      <c r="B237" s="2" t="s">
        <v>196</v>
      </c>
      <c r="C237" s="2" t="str">
        <f>IF(COUNTIF($X$3:$X$20,B237)&gt;0,$X$2,
 IF(COUNTIF($Y$3:$Y$20,B237)&gt;0,$Y$2,
 IF(COUNTIF($Z$3:$Z$20,B237)&gt;0,$Z$2,
 IF(COUNTIF($AA$3:$AA$20,B237)&gt;0,$AA$2,
 IF(COUNTIF($AB$3:$AB$20,B237)&gt;0,$AB$2,
 IF(COUNTIF($AC$3:$AC$20,B237)&gt;0,$AC$2,
 IF(COUNTIF($AD$3:$AD$20,B237)&gt;0,$AD$2,
 "Not Found")))))))</f>
        <v>Not Found</v>
      </c>
      <c r="D237" s="2" t="s">
        <v>10</v>
      </c>
      <c r="E237" s="2" t="s">
        <v>11</v>
      </c>
      <c r="F237" s="2">
        <v>143</v>
      </c>
      <c r="G237" s="4">
        <v>0.34300000000000003</v>
      </c>
      <c r="H237" s="2">
        <v>-594</v>
      </c>
      <c r="I237" s="2">
        <v>99.9</v>
      </c>
      <c r="J237" s="2">
        <v>105.5</v>
      </c>
      <c r="K237" s="4">
        <v>0.51500000000000001</v>
      </c>
      <c r="L237" s="4">
        <v>0.57499999999999996</v>
      </c>
      <c r="M237" s="2">
        <v>222</v>
      </c>
      <c r="N237" s="4">
        <v>0.71899999999999997</v>
      </c>
      <c r="O237" s="8">
        <f>Table1[[#This Row],[PT MARGIN]]/Table1[[#This Row],[G]]</f>
        <v>-4.1538461538461542</v>
      </c>
    </row>
    <row r="238" spans="1:15" hidden="1" x14ac:dyDescent="0.2">
      <c r="A238" s="1">
        <v>346</v>
      </c>
      <c r="B238" s="2" t="s">
        <v>238</v>
      </c>
      <c r="C238" s="2" t="str">
        <f>IF(COUNTIF($X$3:$X$20,B238)&gt;0,$X$2,
 IF(COUNTIF($Y$3:$Y$20,B238)&gt;0,$Y$2,
 IF(COUNTIF($Z$3:$Z$20,B238)&gt;0,$Z$2,
 IF(COUNTIF($AA$3:$AA$20,B238)&gt;0,$AA$2,
 IF(COUNTIF($AB$3:$AB$20,B238)&gt;0,$AB$2,
 IF(COUNTIF($AC$3:$AC$20,B238)&gt;0,$AC$2,
 IF(COUNTIF($AD$3:$AD$20,B238)&gt;0,$AD$2,
 "Not Found")))))))</f>
        <v>Not Found</v>
      </c>
      <c r="D238" s="2" t="s">
        <v>10</v>
      </c>
      <c r="E238" s="2" t="s">
        <v>11</v>
      </c>
      <c r="F238" s="2">
        <v>180</v>
      </c>
      <c r="G238" s="4">
        <v>0.24399999999999999</v>
      </c>
      <c r="H238" s="2">
        <v>-1708</v>
      </c>
      <c r="I238" s="2">
        <v>92.7</v>
      </c>
      <c r="J238" s="2">
        <v>105.8</v>
      </c>
      <c r="K238" s="4">
        <v>0.49399999999999999</v>
      </c>
      <c r="L238" s="4">
        <v>0.56899999999999995</v>
      </c>
      <c r="M238" s="2">
        <v>520</v>
      </c>
      <c r="N238" s="4">
        <v>0.70499999999999996</v>
      </c>
      <c r="O238" s="8">
        <f>Table1[[#This Row],[PT MARGIN]]/Table1[[#This Row],[G]]</f>
        <v>-9.4888888888888889</v>
      </c>
    </row>
    <row r="239" spans="1:15" hidden="1" x14ac:dyDescent="0.2">
      <c r="A239" s="1">
        <v>330</v>
      </c>
      <c r="B239" s="2" t="s">
        <v>254</v>
      </c>
      <c r="C239" s="2" t="str">
        <f>IF(COUNTIF($X$3:$X$20,B239)&gt;0,$X$2,
 IF(COUNTIF($Y$3:$Y$20,B239)&gt;0,$Y$2,
 IF(COUNTIF($Z$3:$Z$20,B239)&gt;0,$Z$2,
 IF(COUNTIF($AA$3:$AA$20,B239)&gt;0,$AA$2,
 IF(COUNTIF($AB$3:$AB$20,B239)&gt;0,$AB$2,
 IF(COUNTIF($AC$3:$AC$20,B239)&gt;0,$AC$2,
 IF(COUNTIF($AD$3:$AD$20,B239)&gt;0,$AD$2,
 "Not Found")))))))</f>
        <v>Not Found</v>
      </c>
      <c r="D239" s="2" t="s">
        <v>10</v>
      </c>
      <c r="E239" s="2" t="s">
        <v>11</v>
      </c>
      <c r="F239" s="2">
        <v>147</v>
      </c>
      <c r="G239" s="4">
        <v>0.19</v>
      </c>
      <c r="H239" s="2">
        <v>-1457</v>
      </c>
      <c r="I239" s="2">
        <v>93.8</v>
      </c>
      <c r="J239" s="2">
        <v>108.4</v>
      </c>
      <c r="K239" s="4">
        <v>0.504</v>
      </c>
      <c r="L239" s="4">
        <v>0.56899999999999995</v>
      </c>
      <c r="M239" s="2">
        <v>286</v>
      </c>
      <c r="N239" s="4">
        <v>0.70099999999999996</v>
      </c>
      <c r="O239" s="8">
        <f>Table1[[#This Row],[PT MARGIN]]/Table1[[#This Row],[G]]</f>
        <v>-9.9115646258503407</v>
      </c>
    </row>
    <row r="240" spans="1:15" hidden="1" x14ac:dyDescent="0.2">
      <c r="A240" s="1">
        <v>14</v>
      </c>
      <c r="B240" s="2" t="s">
        <v>24</v>
      </c>
      <c r="C240" s="2" t="str">
        <f>IF(COUNTIF($X$3:$X$20,B240)&gt;0,$X$2,
 IF(COUNTIF($Y$3:$Y$20,B240)&gt;0,$Y$2,
 IF(COUNTIF($Z$3:$Z$20,B240)&gt;0,$Z$2,
 IF(COUNTIF($AA$3:$AA$20,B240)&gt;0,$AA$2,
 IF(COUNTIF($AB$3:$AB$20,B240)&gt;0,$AB$2,
 IF(COUNTIF($AC$3:$AC$20,B240)&gt;0,$AC$2,
 IF(COUNTIF($AD$3:$AD$20,B240)&gt;0,$AD$2,
 "Not Found")))))))</f>
        <v>Not Found</v>
      </c>
      <c r="D240" s="2" t="s">
        <v>10</v>
      </c>
      <c r="E240" s="2" t="s">
        <v>11</v>
      </c>
      <c r="F240" s="2">
        <v>114</v>
      </c>
      <c r="G240" s="4">
        <v>0.61399999999999999</v>
      </c>
      <c r="H240" s="2">
        <v>256</v>
      </c>
      <c r="I240" s="2">
        <v>104.9</v>
      </c>
      <c r="J240" s="2">
        <v>101.7</v>
      </c>
      <c r="K240" s="4">
        <v>0.55300000000000005</v>
      </c>
      <c r="L240" s="4">
        <v>0.53800000000000003</v>
      </c>
      <c r="M240" s="2">
        <v>-32</v>
      </c>
      <c r="N240" s="4">
        <v>0.72099999999999997</v>
      </c>
      <c r="O240" s="8">
        <f>Table1[[#This Row],[PT MARGIN]]/Table1[[#This Row],[G]]</f>
        <v>2.2456140350877192</v>
      </c>
    </row>
    <row r="241" spans="1:15" x14ac:dyDescent="0.2">
      <c r="A241" s="1">
        <v>85</v>
      </c>
      <c r="B241" s="2" t="s">
        <v>97</v>
      </c>
      <c r="C241" s="2" t="str">
        <f>IF(COUNTIF($X$3:$X$20,B241)&gt;0,$X$2,
 IF(COUNTIF($Y$3:$Y$20,B241)&gt;0,$Y$2,
 IF(COUNTIF($Z$3:$Z$20,B241)&gt;0,$Z$2,
 IF(COUNTIF($AA$3:$AA$20,B241)&gt;0,$AA$2,
 IF(COUNTIF($AB$3:$AB$20,B241)&gt;0,$AB$2,
 IF(COUNTIF($AC$3:$AC$20,B241)&gt;0,$AC$2,
 IF(COUNTIF($AD$3:$AD$20,B241)&gt;0,$AD$2,
 "Not Found")))))))</f>
        <v>Big East</v>
      </c>
      <c r="D241" s="2" t="s">
        <v>10</v>
      </c>
      <c r="E241" s="2" t="s">
        <v>11</v>
      </c>
      <c r="F241" s="2">
        <v>109</v>
      </c>
      <c r="G241" s="4">
        <v>0.44</v>
      </c>
      <c r="H241" s="2">
        <v>-234</v>
      </c>
      <c r="I241" s="2">
        <v>99.5</v>
      </c>
      <c r="J241" s="2">
        <v>102.6</v>
      </c>
      <c r="K241" s="4">
        <v>0.51900000000000002</v>
      </c>
      <c r="L241" s="4">
        <v>0.53300000000000003</v>
      </c>
      <c r="M241" s="2">
        <v>86</v>
      </c>
      <c r="N241" s="4">
        <v>0.72799999999999998</v>
      </c>
      <c r="O241" s="8">
        <f>Table1[[#This Row],[PT MARGIN]]/Table1[[#This Row],[G]]</f>
        <v>-2.1467889908256881</v>
      </c>
    </row>
    <row r="242" spans="1:15" x14ac:dyDescent="0.2">
      <c r="A242" s="1">
        <v>23</v>
      </c>
      <c r="B242" s="2" t="s">
        <v>33</v>
      </c>
      <c r="C242" s="2" t="str">
        <f>IF(COUNTIF($X$3:$X$20,B242)&gt;0,$X$2,
 IF(COUNTIF($Y$3:$Y$20,B242)&gt;0,$Y$2,
 IF(COUNTIF($Z$3:$Z$20,B242)&gt;0,$Z$2,
 IF(COUNTIF($AA$3:$AA$20,B242)&gt;0,$AA$2,
 IF(COUNTIF($AB$3:$AB$20,B242)&gt;0,$AB$2,
 IF(COUNTIF($AC$3:$AC$20,B242)&gt;0,$AC$2,
 IF(COUNTIF($AD$3:$AD$20,B242)&gt;0,$AD$2,
 "Not Found")))))))</f>
        <v>Big 10</v>
      </c>
      <c r="D242" s="2" t="s">
        <v>10</v>
      </c>
      <c r="E242" s="2" t="s">
        <v>11</v>
      </c>
      <c r="F242" s="2">
        <v>107</v>
      </c>
      <c r="G242" s="4">
        <v>0.55100000000000005</v>
      </c>
      <c r="H242" s="2">
        <v>183</v>
      </c>
      <c r="I242" s="2">
        <v>104.7</v>
      </c>
      <c r="J242" s="2">
        <v>102.1</v>
      </c>
      <c r="K242" s="4">
        <v>0.53900000000000003</v>
      </c>
      <c r="L242" s="4">
        <v>0.53300000000000003</v>
      </c>
      <c r="M242" s="2">
        <v>-26</v>
      </c>
      <c r="N242" s="4">
        <v>0.72099999999999997</v>
      </c>
      <c r="O242" s="8">
        <f>Table1[[#This Row],[PT MARGIN]]/Table1[[#This Row],[G]]</f>
        <v>1.7102803738317758</v>
      </c>
    </row>
    <row r="243" spans="1:15" hidden="1" x14ac:dyDescent="0.2">
      <c r="A243" s="1">
        <v>133</v>
      </c>
      <c r="B243" s="2" t="s">
        <v>149</v>
      </c>
      <c r="C243" s="2" t="str">
        <f>IF(COUNTIF($X$3:$X$20,B243)&gt;0,$X$2,
 IF(COUNTIF($Y$3:$Y$20,B243)&gt;0,$Y$2,
 IF(COUNTIF($Z$3:$Z$20,B243)&gt;0,$Z$2,
 IF(COUNTIF($AA$3:$AA$20,B243)&gt;0,$AA$2,
 IF(COUNTIF($AB$3:$AB$20,B243)&gt;0,$AB$2,
 IF(COUNTIF($AC$3:$AC$20,B243)&gt;0,$AC$2,
 IF(COUNTIF($AD$3:$AD$20,B243)&gt;0,$AD$2,
 "Not Found")))))))</f>
        <v>Not Found</v>
      </c>
      <c r="D243" s="2" t="s">
        <v>10</v>
      </c>
      <c r="E243" s="2" t="s">
        <v>11</v>
      </c>
      <c r="F243" s="2">
        <v>141</v>
      </c>
      <c r="G243" s="4">
        <v>0.41099999999999998</v>
      </c>
      <c r="H243" s="2">
        <v>-428</v>
      </c>
      <c r="I243" s="2">
        <v>102.7</v>
      </c>
      <c r="J243" s="2">
        <v>106.9</v>
      </c>
      <c r="K243" s="4">
        <v>0.55300000000000005</v>
      </c>
      <c r="L243" s="4">
        <v>0.56799999999999995</v>
      </c>
      <c r="M243" s="2">
        <v>196</v>
      </c>
      <c r="N243" s="4">
        <v>0.72399999999999998</v>
      </c>
      <c r="O243" s="8">
        <f>Table1[[#This Row],[PT MARGIN]]/Table1[[#This Row],[G]]</f>
        <v>-3.0354609929078014</v>
      </c>
    </row>
    <row r="244" spans="1:15" hidden="1" x14ac:dyDescent="0.2">
      <c r="A244" s="1">
        <v>99</v>
      </c>
      <c r="B244" s="2" t="s">
        <v>112</v>
      </c>
      <c r="C244" s="2" t="str">
        <f>IF(COUNTIF($X$3:$X$20,B244)&gt;0,$X$2,
 IF(COUNTIF($Y$3:$Y$20,B244)&gt;0,$Y$2,
 IF(COUNTIF($Z$3:$Z$20,B244)&gt;0,$Z$2,
 IF(COUNTIF($AA$3:$AA$20,B244)&gt;0,$AA$2,
 IF(COUNTIF($AB$3:$AB$20,B244)&gt;0,$AB$2,
 IF(COUNTIF($AC$3:$AC$20,B244)&gt;0,$AC$2,
 IF(COUNTIF($AD$3:$AD$20,B244)&gt;0,$AD$2,
 "Not Found")))))))</f>
        <v>Not Found</v>
      </c>
      <c r="D244" s="2" t="s">
        <v>113</v>
      </c>
      <c r="E244" s="2" t="s">
        <v>11</v>
      </c>
      <c r="F244" s="2">
        <v>50</v>
      </c>
      <c r="G244" s="4">
        <v>0.34</v>
      </c>
      <c r="H244" s="2">
        <v>-312</v>
      </c>
      <c r="I244" s="2">
        <v>101.3</v>
      </c>
      <c r="J244" s="2">
        <v>110</v>
      </c>
      <c r="K244" s="4">
        <v>0.52300000000000002</v>
      </c>
      <c r="L244" s="4">
        <v>0.56299999999999994</v>
      </c>
      <c r="M244" s="2">
        <v>3</v>
      </c>
      <c r="N244" s="4">
        <v>0.70099999999999996</v>
      </c>
      <c r="O244" s="8">
        <f>Table1[[#This Row],[PT MARGIN]]/Table1[[#This Row],[G]]</f>
        <v>-6.24</v>
      </c>
    </row>
    <row r="245" spans="1:15" hidden="1" x14ac:dyDescent="0.2">
      <c r="A245" s="1">
        <v>157</v>
      </c>
      <c r="B245" s="2" t="s">
        <v>173</v>
      </c>
      <c r="C245" s="2" t="str">
        <f>IF(COUNTIF($X$3:$X$20,B245)&gt;0,$X$2,
 IF(COUNTIF($Y$3:$Y$20,B245)&gt;0,$Y$2,
 IF(COUNTIF($Z$3:$Z$20,B245)&gt;0,$Z$2,
 IF(COUNTIF($AA$3:$AA$20,B245)&gt;0,$AA$2,
 IF(COUNTIF($AB$3:$AB$20,B245)&gt;0,$AB$2,
 IF(COUNTIF($AC$3:$AC$20,B245)&gt;0,$AC$2,
 IF(COUNTIF($AD$3:$AD$20,B245)&gt;0,$AD$2,
 "Not Found")))))))</f>
        <v>Not Found</v>
      </c>
      <c r="D245" s="2" t="s">
        <v>10</v>
      </c>
      <c r="E245" s="2" t="s">
        <v>11</v>
      </c>
      <c r="F245" s="2">
        <v>136</v>
      </c>
      <c r="G245" s="4">
        <v>0.39700000000000002</v>
      </c>
      <c r="H245" s="2">
        <v>-512</v>
      </c>
      <c r="I245" s="2">
        <v>99.4</v>
      </c>
      <c r="J245" s="2">
        <v>104.6</v>
      </c>
      <c r="K245" s="4">
        <v>0.51900000000000002</v>
      </c>
      <c r="L245" s="4">
        <v>0.54300000000000004</v>
      </c>
      <c r="M245" s="2">
        <v>69</v>
      </c>
      <c r="N245" s="4">
        <v>0.71399999999999997</v>
      </c>
      <c r="O245" s="8">
        <f>Table1[[#This Row],[PT MARGIN]]/Table1[[#This Row],[G]]</f>
        <v>-3.7647058823529411</v>
      </c>
    </row>
    <row r="246" spans="1:15" hidden="1" x14ac:dyDescent="0.2">
      <c r="A246" s="1">
        <v>164</v>
      </c>
      <c r="B246" s="2" t="s">
        <v>180</v>
      </c>
      <c r="C246" s="2" t="str">
        <f>IF(COUNTIF($X$3:$X$20,B246)&gt;0,$X$2,
 IF(COUNTIF($Y$3:$Y$20,B246)&gt;0,$Y$2,
 IF(COUNTIF($Z$3:$Z$20,B246)&gt;0,$Z$2,
 IF(COUNTIF($AA$3:$AA$20,B246)&gt;0,$AA$2,
 IF(COUNTIF($AB$3:$AB$20,B246)&gt;0,$AB$2,
 IF(COUNTIF($AC$3:$AC$20,B246)&gt;0,$AC$2,
 IF(COUNTIF($AD$3:$AD$20,B246)&gt;0,$AD$2,
 "Not Found")))))))</f>
        <v>Not Found</v>
      </c>
      <c r="D246" s="2" t="s">
        <v>10</v>
      </c>
      <c r="E246" s="2" t="s">
        <v>11</v>
      </c>
      <c r="F246" s="2">
        <v>152</v>
      </c>
      <c r="G246" s="4">
        <v>0.41399999999999998</v>
      </c>
      <c r="H246" s="2">
        <v>-543</v>
      </c>
      <c r="I246" s="2">
        <v>99.2</v>
      </c>
      <c r="J246" s="2">
        <v>104.5</v>
      </c>
      <c r="K246" s="4">
        <v>0.52200000000000002</v>
      </c>
      <c r="L246" s="4">
        <v>0.54800000000000004</v>
      </c>
      <c r="M246" s="2">
        <v>279</v>
      </c>
      <c r="N246" s="4">
        <v>0.71399999999999997</v>
      </c>
      <c r="O246" s="8">
        <f>Table1[[#This Row],[PT MARGIN]]/Table1[[#This Row],[G]]</f>
        <v>-3.5723684210526314</v>
      </c>
    </row>
    <row r="247" spans="1:15" hidden="1" x14ac:dyDescent="0.2">
      <c r="A247" s="1">
        <v>78</v>
      </c>
      <c r="B247" s="2" t="s">
        <v>89</v>
      </c>
      <c r="C247" s="2" t="str">
        <f>IF(COUNTIF($X$3:$X$20,B247)&gt;0,$X$2,
 IF(COUNTIF($Y$3:$Y$20,B247)&gt;0,$Y$2,
 IF(COUNTIF($Z$3:$Z$20,B247)&gt;0,$Z$2,
 IF(COUNTIF($AA$3:$AA$20,B247)&gt;0,$AA$2,
 IF(COUNTIF($AB$3:$AB$20,B247)&gt;0,$AB$2,
 IF(COUNTIF($AC$3:$AC$20,B247)&gt;0,$AC$2,
 IF(COUNTIF($AD$3:$AD$20,B247)&gt;0,$AD$2,
 "Not Found")))))))</f>
        <v>Not Found</v>
      </c>
      <c r="D247" s="2" t="s">
        <v>10</v>
      </c>
      <c r="E247" s="2" t="s">
        <v>11</v>
      </c>
      <c r="F247" s="2">
        <v>115</v>
      </c>
      <c r="G247" s="4">
        <v>0.34799999999999998</v>
      </c>
      <c r="H247" s="2">
        <v>-206</v>
      </c>
      <c r="I247" s="2">
        <v>98.6</v>
      </c>
      <c r="J247" s="2">
        <v>101.1</v>
      </c>
      <c r="K247" s="4">
        <v>0.51600000000000001</v>
      </c>
      <c r="L247" s="4">
        <v>0.53700000000000003</v>
      </c>
      <c r="M247" s="2">
        <v>141</v>
      </c>
      <c r="N247" s="4">
        <v>0.72699999999999998</v>
      </c>
      <c r="O247" s="8">
        <f>Table1[[#This Row],[PT MARGIN]]/Table1[[#This Row],[G]]</f>
        <v>-1.7913043478260871</v>
      </c>
    </row>
    <row r="248" spans="1:15" hidden="1" x14ac:dyDescent="0.2">
      <c r="A248" s="1">
        <v>250</v>
      </c>
      <c r="B248" s="2" t="s">
        <v>334</v>
      </c>
      <c r="C248" s="2" t="str">
        <f>IF(COUNTIF($X$3:$X$20,B248)&gt;0,$X$2,
 IF(COUNTIF($Y$3:$Y$20,B248)&gt;0,$Y$2,
 IF(COUNTIF($Z$3:$Z$20,B248)&gt;0,$Z$2,
 IF(COUNTIF($AA$3:$AA$20,B248)&gt;0,$AA$2,
 IF(COUNTIF($AB$3:$AB$20,B248)&gt;0,$AB$2,
 IF(COUNTIF($AC$3:$AC$20,B248)&gt;0,$AC$2,
 IF(COUNTIF($AD$3:$AD$20,B248)&gt;0,$AD$2,
 "Not Found")))))))</f>
        <v>Not Found</v>
      </c>
      <c r="D248" s="2" t="s">
        <v>10</v>
      </c>
      <c r="E248" s="2" t="s">
        <v>11</v>
      </c>
      <c r="F248" s="2">
        <v>132</v>
      </c>
      <c r="G248" s="4">
        <v>0.34100000000000003</v>
      </c>
      <c r="H248" s="2">
        <v>-891</v>
      </c>
      <c r="I248" s="2">
        <v>98.8</v>
      </c>
      <c r="J248" s="2">
        <v>108.2</v>
      </c>
      <c r="K248" s="4">
        <v>0.53300000000000003</v>
      </c>
      <c r="L248" s="4">
        <v>0.55900000000000005</v>
      </c>
      <c r="M248" s="2">
        <v>-92</v>
      </c>
      <c r="N248" s="4">
        <v>0.71599999999999997</v>
      </c>
      <c r="O248" s="8">
        <f>Table1[[#This Row],[PT MARGIN]]/Table1[[#This Row],[G]]</f>
        <v>-6.75</v>
      </c>
    </row>
    <row r="249" spans="1:15" hidden="1" x14ac:dyDescent="0.2">
      <c r="A249" s="1">
        <v>94</v>
      </c>
      <c r="B249" s="2" t="s">
        <v>107</v>
      </c>
      <c r="C249" s="2" t="str">
        <f>IF(COUNTIF($X$3:$X$20,B249)&gt;0,$X$2,
 IF(COUNTIF($Y$3:$Y$20,B249)&gt;0,$Y$2,
 IF(COUNTIF($Z$3:$Z$20,B249)&gt;0,$Z$2,
 IF(COUNTIF($AA$3:$AA$20,B249)&gt;0,$AA$2,
 IF(COUNTIF($AB$3:$AB$20,B249)&gt;0,$AB$2,
 IF(COUNTIF($AC$3:$AC$20,B249)&gt;0,$AC$2,
 IF(COUNTIF($AD$3:$AD$20,B249)&gt;0,$AD$2,
 "Not Found")))))))</f>
        <v>Not Found</v>
      </c>
      <c r="D249" s="2" t="s">
        <v>10</v>
      </c>
      <c r="E249" s="2" t="s">
        <v>11</v>
      </c>
      <c r="F249" s="2">
        <v>116</v>
      </c>
      <c r="G249" s="4">
        <v>0.44</v>
      </c>
      <c r="H249" s="2">
        <v>-285</v>
      </c>
      <c r="I249" s="2">
        <v>102.2</v>
      </c>
      <c r="J249" s="2">
        <v>105.7</v>
      </c>
      <c r="K249" s="4">
        <v>0.54600000000000004</v>
      </c>
      <c r="L249" s="4">
        <v>0.55100000000000005</v>
      </c>
      <c r="M249" s="2">
        <v>119</v>
      </c>
      <c r="N249" s="4">
        <v>0.73099999999999998</v>
      </c>
      <c r="O249" s="8">
        <f>Table1[[#This Row],[PT MARGIN]]/Table1[[#This Row],[G]]</f>
        <v>-2.4568965517241379</v>
      </c>
    </row>
    <row r="250" spans="1:15" hidden="1" x14ac:dyDescent="0.2">
      <c r="A250" s="1">
        <v>183</v>
      </c>
      <c r="B250" s="2" t="s">
        <v>199</v>
      </c>
      <c r="C250" s="2" t="str">
        <f>IF(COUNTIF($X$3:$X$20,B250)&gt;0,$X$2,
 IF(COUNTIF($Y$3:$Y$20,B250)&gt;0,$Y$2,
 IF(COUNTIF($Z$3:$Z$20,B250)&gt;0,$Z$2,
 IF(COUNTIF($AA$3:$AA$20,B250)&gt;0,$AA$2,
 IF(COUNTIF($AB$3:$AB$20,B250)&gt;0,$AB$2,
 IF(COUNTIF($AC$3:$AC$20,B250)&gt;0,$AC$2,
 IF(COUNTIF($AD$3:$AD$20,B250)&gt;0,$AD$2,
 "Not Found")))))))</f>
        <v>Not Found</v>
      </c>
      <c r="D250" s="2" t="s">
        <v>10</v>
      </c>
      <c r="E250" s="2" t="s">
        <v>11</v>
      </c>
      <c r="F250" s="2">
        <v>158</v>
      </c>
      <c r="G250" s="4">
        <v>0.39200000000000002</v>
      </c>
      <c r="H250" s="2">
        <v>-600</v>
      </c>
      <c r="I250" s="2">
        <v>98.7</v>
      </c>
      <c r="J250" s="2">
        <v>104.1</v>
      </c>
      <c r="K250" s="4">
        <v>0.51100000000000001</v>
      </c>
      <c r="L250" s="4">
        <v>0.54200000000000004</v>
      </c>
      <c r="M250" s="2">
        <v>75</v>
      </c>
      <c r="N250" s="4">
        <v>0.69699999999999995</v>
      </c>
      <c r="O250" s="8">
        <f>Table1[[#This Row],[PT MARGIN]]/Table1[[#This Row],[G]]</f>
        <v>-3.7974683544303796</v>
      </c>
    </row>
    <row r="251" spans="1:15" hidden="1" x14ac:dyDescent="0.2">
      <c r="A251" s="1">
        <v>248</v>
      </c>
      <c r="B251" s="2" t="s">
        <v>336</v>
      </c>
      <c r="C251" s="2" t="str">
        <f>IF(COUNTIF($X$3:$X$20,B251)&gt;0,$X$2,
 IF(COUNTIF($Y$3:$Y$20,B251)&gt;0,$Y$2,
 IF(COUNTIF($Z$3:$Z$20,B251)&gt;0,$Z$2,
 IF(COUNTIF($AA$3:$AA$20,B251)&gt;0,$AA$2,
 IF(COUNTIF($AB$3:$AB$20,B251)&gt;0,$AB$2,
 IF(COUNTIF($AC$3:$AC$20,B251)&gt;0,$AC$2,
 IF(COUNTIF($AD$3:$AD$20,B251)&gt;0,$AD$2,
 "Not Found")))))))</f>
        <v>Not Found</v>
      </c>
      <c r="D251" s="2" t="s">
        <v>10</v>
      </c>
      <c r="E251" s="2" t="s">
        <v>11</v>
      </c>
      <c r="F251" s="2">
        <v>155</v>
      </c>
      <c r="G251" s="4">
        <v>0.32300000000000001</v>
      </c>
      <c r="H251" s="2">
        <v>-884</v>
      </c>
      <c r="I251" s="2">
        <v>95.9</v>
      </c>
      <c r="J251" s="2">
        <v>104</v>
      </c>
      <c r="K251" s="4">
        <v>0.50800000000000001</v>
      </c>
      <c r="L251" s="4">
        <v>0.55600000000000005</v>
      </c>
      <c r="M251" s="2">
        <v>243</v>
      </c>
      <c r="N251" s="4">
        <v>0.72199999999999998</v>
      </c>
      <c r="O251" s="8">
        <f>Table1[[#This Row],[PT MARGIN]]/Table1[[#This Row],[G]]</f>
        <v>-5.7032258064516128</v>
      </c>
    </row>
    <row r="252" spans="1:15" x14ac:dyDescent="0.2">
      <c r="A252" s="1">
        <v>280</v>
      </c>
      <c r="B252" s="2" t="s">
        <v>304</v>
      </c>
      <c r="C252" s="2" t="str">
        <f>IF(COUNTIF($X$3:$X$20,B252)&gt;0,$X$2,
 IF(COUNTIF($Y$3:$Y$20,B252)&gt;0,$Y$2,
 IF(COUNTIF($Z$3:$Z$20,B252)&gt;0,$Z$2,
 IF(COUNTIF($AA$3:$AA$20,B252)&gt;0,$AA$2,
 IF(COUNTIF($AB$3:$AB$20,B252)&gt;0,$AB$2,
 IF(COUNTIF($AC$3:$AC$20,B252)&gt;0,$AC$2,
 IF(COUNTIF($AD$3:$AD$20,B252)&gt;0,$AD$2,
 "Not Found")))))))</f>
        <v>Big 10</v>
      </c>
      <c r="D252" s="2" t="s">
        <v>10</v>
      </c>
      <c r="E252" s="2" t="s">
        <v>11</v>
      </c>
      <c r="F252" s="2">
        <v>113</v>
      </c>
      <c r="G252" s="4">
        <v>0.23899999999999999</v>
      </c>
      <c r="H252" s="2">
        <v>-1028</v>
      </c>
      <c r="I252" s="2">
        <v>93.8</v>
      </c>
      <c r="J252" s="2">
        <v>107</v>
      </c>
      <c r="K252" s="4">
        <v>0.48799999999999999</v>
      </c>
      <c r="L252" s="4">
        <v>0.55400000000000005</v>
      </c>
      <c r="M252" s="2">
        <v>326</v>
      </c>
      <c r="N252" s="4">
        <v>0.72199999999999998</v>
      </c>
      <c r="O252" s="8">
        <f>Table1[[#This Row],[PT MARGIN]]/Table1[[#This Row],[G]]</f>
        <v>-9.0973451327433636</v>
      </c>
    </row>
    <row r="253" spans="1:15" hidden="1" x14ac:dyDescent="0.2">
      <c r="A253" s="1">
        <v>289</v>
      </c>
      <c r="B253" s="2" t="s">
        <v>295</v>
      </c>
      <c r="C253" s="2" t="str">
        <f>IF(COUNTIF($X$3:$X$20,B253)&gt;0,$X$2,
 IF(COUNTIF($Y$3:$Y$20,B253)&gt;0,$Y$2,
 IF(COUNTIF($Z$3:$Z$20,B253)&gt;0,$Z$2,
 IF(COUNTIF($AA$3:$AA$20,B253)&gt;0,$AA$2,
 IF(COUNTIF($AB$3:$AB$20,B253)&gt;0,$AB$2,
 IF(COUNTIF($AC$3:$AC$20,B253)&gt;0,$AC$2,
 IF(COUNTIF($AD$3:$AD$20,B253)&gt;0,$AD$2,
 "Not Found")))))))</f>
        <v>Not Found</v>
      </c>
      <c r="D253" s="2" t="s">
        <v>10</v>
      </c>
      <c r="E253" s="2" t="s">
        <v>11</v>
      </c>
      <c r="F253" s="2">
        <v>138</v>
      </c>
      <c r="G253" s="4">
        <v>0.23200000000000001</v>
      </c>
      <c r="H253" s="2">
        <v>-1091</v>
      </c>
      <c r="I253" s="2">
        <v>93.7</v>
      </c>
      <c r="J253" s="2">
        <v>105.3</v>
      </c>
      <c r="K253" s="4">
        <v>0.501</v>
      </c>
      <c r="L253" s="4">
        <v>0.55300000000000005</v>
      </c>
      <c r="M253" s="2">
        <v>212</v>
      </c>
      <c r="N253" s="4">
        <v>0.73299999999999998</v>
      </c>
      <c r="O253" s="8">
        <f>Table1[[#This Row],[PT MARGIN]]/Table1[[#This Row],[G]]</f>
        <v>-7.9057971014492754</v>
      </c>
    </row>
    <row r="254" spans="1:15" hidden="1" x14ac:dyDescent="0.2">
      <c r="A254" s="1">
        <v>230</v>
      </c>
      <c r="B254" s="2" t="s">
        <v>354</v>
      </c>
      <c r="C254" s="2" t="str">
        <f>IF(COUNTIF($X$3:$X$20,B254)&gt;0,$X$2,
 IF(COUNTIF($Y$3:$Y$20,B254)&gt;0,$Y$2,
 IF(COUNTIF($Z$3:$Z$20,B254)&gt;0,$Z$2,
 IF(COUNTIF($AA$3:$AA$20,B254)&gt;0,$AA$2,
 IF(COUNTIF($AB$3:$AB$20,B254)&gt;0,$AB$2,
 IF(COUNTIF($AC$3:$AC$20,B254)&gt;0,$AC$2,
 IF(COUNTIF($AD$3:$AD$20,B254)&gt;0,$AD$2,
 "Not Found")))))))</f>
        <v>Not Found</v>
      </c>
      <c r="D254" s="2" t="s">
        <v>10</v>
      </c>
      <c r="E254" s="2" t="s">
        <v>11</v>
      </c>
      <c r="F254" s="2">
        <v>156</v>
      </c>
      <c r="G254" s="4">
        <v>0.34599999999999997</v>
      </c>
      <c r="H254" s="2">
        <v>-791</v>
      </c>
      <c r="I254" s="2">
        <v>100.4</v>
      </c>
      <c r="J254" s="2">
        <v>107.4</v>
      </c>
      <c r="K254" s="4">
        <v>0.53100000000000003</v>
      </c>
      <c r="L254" s="4">
        <v>0.55600000000000005</v>
      </c>
      <c r="M254" s="2">
        <v>9</v>
      </c>
      <c r="N254" s="4">
        <v>0.69899999999999995</v>
      </c>
      <c r="O254" s="8">
        <f>Table1[[#This Row],[PT MARGIN]]/Table1[[#This Row],[G]]</f>
        <v>-5.0705128205128203</v>
      </c>
    </row>
    <row r="255" spans="1:15" hidden="1" x14ac:dyDescent="0.2">
      <c r="A255" s="1">
        <v>287</v>
      </c>
      <c r="B255" s="2" t="s">
        <v>297</v>
      </c>
      <c r="C255" s="2" t="str">
        <f>IF(COUNTIF($X$3:$X$20,B255)&gt;0,$X$2,
 IF(COUNTIF($Y$3:$Y$20,B255)&gt;0,$Y$2,
 IF(COUNTIF($Z$3:$Z$20,B255)&gt;0,$Z$2,
 IF(COUNTIF($AA$3:$AA$20,B255)&gt;0,$AA$2,
 IF(COUNTIF($AB$3:$AB$20,B255)&gt;0,$AB$2,
 IF(COUNTIF($AC$3:$AC$20,B255)&gt;0,$AC$2,
 IF(COUNTIF($AD$3:$AD$20,B255)&gt;0,$AD$2,
 "Not Found")))))))</f>
        <v>Not Found</v>
      </c>
      <c r="D255" s="2" t="s">
        <v>10</v>
      </c>
      <c r="E255" s="2" t="s">
        <v>11</v>
      </c>
      <c r="F255" s="2">
        <v>154</v>
      </c>
      <c r="G255" s="4">
        <v>0.318</v>
      </c>
      <c r="H255" s="2">
        <v>-1088</v>
      </c>
      <c r="I255" s="2">
        <v>97.7</v>
      </c>
      <c r="J255" s="2">
        <v>107.7</v>
      </c>
      <c r="K255" s="4">
        <v>0.51900000000000002</v>
      </c>
      <c r="L255" s="4">
        <v>0.55900000000000005</v>
      </c>
      <c r="M255" s="2">
        <v>3</v>
      </c>
      <c r="N255" s="4">
        <v>0.71599999999999997</v>
      </c>
      <c r="O255" s="8">
        <f>Table1[[#This Row],[PT MARGIN]]/Table1[[#This Row],[G]]</f>
        <v>-7.0649350649350646</v>
      </c>
    </row>
    <row r="256" spans="1:15" hidden="1" x14ac:dyDescent="0.2">
      <c r="A256" s="1">
        <v>165</v>
      </c>
      <c r="B256" s="2" t="s">
        <v>181</v>
      </c>
      <c r="C256" s="2" t="str">
        <f>IF(COUNTIF($X$3:$X$20,B256)&gt;0,$X$2,
 IF(COUNTIF($Y$3:$Y$20,B256)&gt;0,$Y$2,
 IF(COUNTIF($Z$3:$Z$20,B256)&gt;0,$Z$2,
 IF(COUNTIF($AA$3:$AA$20,B256)&gt;0,$AA$2,
 IF(COUNTIF($AB$3:$AB$20,B256)&gt;0,$AB$2,
 IF(COUNTIF($AC$3:$AC$20,B256)&gt;0,$AC$2,
 IF(COUNTIF($AD$3:$AD$20,B256)&gt;0,$AD$2,
 "Not Found")))))))</f>
        <v>Not Found</v>
      </c>
      <c r="D256" s="2" t="s">
        <v>10</v>
      </c>
      <c r="E256" s="2" t="s">
        <v>11</v>
      </c>
      <c r="F256" s="2">
        <v>119</v>
      </c>
      <c r="G256" s="4">
        <v>0.29399999999999998</v>
      </c>
      <c r="H256" s="2">
        <v>-543</v>
      </c>
      <c r="I256" s="2">
        <v>99.6</v>
      </c>
      <c r="J256" s="2">
        <v>106</v>
      </c>
      <c r="K256" s="4">
        <v>0.52300000000000002</v>
      </c>
      <c r="L256" s="4">
        <v>0.55200000000000005</v>
      </c>
      <c r="M256" s="2">
        <v>87</v>
      </c>
      <c r="N256" s="4">
        <v>0.71499999999999997</v>
      </c>
      <c r="O256" s="8">
        <f>Table1[[#This Row],[PT MARGIN]]/Table1[[#This Row],[G]]</f>
        <v>-4.5630252100840334</v>
      </c>
    </row>
    <row r="257" spans="1:15" hidden="1" x14ac:dyDescent="0.2">
      <c r="A257" s="1">
        <v>173</v>
      </c>
      <c r="B257" s="2" t="s">
        <v>189</v>
      </c>
      <c r="C257" s="2" t="str">
        <f>IF(COUNTIF($X$3:$X$20,B257)&gt;0,$X$2,
 IF(COUNTIF($Y$3:$Y$20,B257)&gt;0,$Y$2,
 IF(COUNTIF($Z$3:$Z$20,B257)&gt;0,$Z$2,
 IF(COUNTIF($AA$3:$AA$20,B257)&gt;0,$AA$2,
 IF(COUNTIF($AB$3:$AB$20,B257)&gt;0,$AB$2,
 IF(COUNTIF($AC$3:$AC$20,B257)&gt;0,$AC$2,
 IF(COUNTIF($AD$3:$AD$20,B257)&gt;0,$AD$2,
 "Not Found")))))))</f>
        <v>Not Found</v>
      </c>
      <c r="D257" s="2" t="s">
        <v>10</v>
      </c>
      <c r="E257" s="2" t="s">
        <v>11</v>
      </c>
      <c r="F257" s="2">
        <v>105</v>
      </c>
      <c r="G257" s="4">
        <v>0.32400000000000001</v>
      </c>
      <c r="H257" s="2">
        <v>-581</v>
      </c>
      <c r="I257" s="2">
        <v>96.3</v>
      </c>
      <c r="J257" s="2">
        <v>104.3</v>
      </c>
      <c r="K257" s="4">
        <v>0.51200000000000001</v>
      </c>
      <c r="L257" s="4">
        <v>0.54700000000000004</v>
      </c>
      <c r="M257" s="2">
        <v>301</v>
      </c>
      <c r="N257" s="4">
        <v>0.70399999999999996</v>
      </c>
      <c r="O257" s="8">
        <f>Table1[[#This Row],[PT MARGIN]]/Table1[[#This Row],[G]]</f>
        <v>-5.5333333333333332</v>
      </c>
    </row>
    <row r="258" spans="1:15" hidden="1" x14ac:dyDescent="0.2">
      <c r="A258" s="1">
        <v>169</v>
      </c>
      <c r="B258" s="2" t="s">
        <v>185</v>
      </c>
      <c r="C258" s="2" t="str">
        <f>IF(COUNTIF($X$3:$X$20,B258)&gt;0,$X$2,
 IF(COUNTIF($Y$3:$Y$20,B258)&gt;0,$Y$2,
 IF(COUNTIF($Z$3:$Z$20,B258)&gt;0,$Z$2,
 IF(COUNTIF($AA$3:$AA$20,B258)&gt;0,$AA$2,
 IF(COUNTIF($AB$3:$AB$20,B258)&gt;0,$AB$2,
 IF(COUNTIF($AC$3:$AC$20,B258)&gt;0,$AC$2,
 IF(COUNTIF($AD$3:$AD$20,B258)&gt;0,$AD$2,
 "Not Found")))))))</f>
        <v>Not Found</v>
      </c>
      <c r="D258" s="2" t="s">
        <v>10</v>
      </c>
      <c r="E258" s="2" t="s">
        <v>11</v>
      </c>
      <c r="F258" s="2">
        <v>148</v>
      </c>
      <c r="G258" s="4">
        <v>0.35799999999999998</v>
      </c>
      <c r="H258" s="2">
        <v>-562</v>
      </c>
      <c r="I258" s="2">
        <v>93.5</v>
      </c>
      <c r="J258" s="2">
        <v>99.2</v>
      </c>
      <c r="K258" s="4">
        <v>0.5</v>
      </c>
      <c r="L258" s="4">
        <v>0.53200000000000003</v>
      </c>
      <c r="M258" s="2">
        <v>426</v>
      </c>
      <c r="N258" s="4">
        <v>0.72199999999999998</v>
      </c>
      <c r="O258" s="8">
        <f>Table1[[#This Row],[PT MARGIN]]/Table1[[#This Row],[G]]</f>
        <v>-3.7972972972972974</v>
      </c>
    </row>
    <row r="259" spans="1:15" hidden="1" x14ac:dyDescent="0.2">
      <c r="A259" s="1">
        <v>147</v>
      </c>
      <c r="B259" s="2" t="s">
        <v>163</v>
      </c>
      <c r="C259" s="2" t="str">
        <f>IF(COUNTIF($X$3:$X$20,B259)&gt;0,$X$2,
 IF(COUNTIF($Y$3:$Y$20,B259)&gt;0,$Y$2,
 IF(COUNTIF($Z$3:$Z$20,B259)&gt;0,$Z$2,
 IF(COUNTIF($AA$3:$AA$20,B259)&gt;0,$AA$2,
 IF(COUNTIF($AB$3:$AB$20,B259)&gt;0,$AB$2,
 IF(COUNTIF($AC$3:$AC$20,B259)&gt;0,$AC$2,
 IF(COUNTIF($AD$3:$AD$20,B259)&gt;0,$AD$2,
 "Not Found")))))))</f>
        <v>Not Found</v>
      </c>
      <c r="D259" s="2" t="s">
        <v>10</v>
      </c>
      <c r="E259" s="2" t="s">
        <v>11</v>
      </c>
      <c r="F259" s="2">
        <v>147</v>
      </c>
      <c r="G259" s="4">
        <v>0.41499999999999998</v>
      </c>
      <c r="H259" s="2">
        <v>-488</v>
      </c>
      <c r="I259" s="2">
        <v>97.7</v>
      </c>
      <c r="J259" s="2">
        <v>102.3</v>
      </c>
      <c r="K259" s="4">
        <v>0.51500000000000001</v>
      </c>
      <c r="L259" s="4">
        <v>0.55600000000000005</v>
      </c>
      <c r="M259" s="2">
        <v>414</v>
      </c>
      <c r="N259" s="4">
        <v>0.71699999999999997</v>
      </c>
      <c r="O259" s="8">
        <f>Table1[[#This Row],[PT MARGIN]]/Table1[[#This Row],[G]]</f>
        <v>-3.3197278911564627</v>
      </c>
    </row>
    <row r="260" spans="1:15" hidden="1" x14ac:dyDescent="0.2">
      <c r="A260" s="1">
        <v>210</v>
      </c>
      <c r="B260" s="2" t="s">
        <v>374</v>
      </c>
      <c r="C260" s="2" t="str">
        <f>IF(COUNTIF($X$3:$X$20,B260)&gt;0,$X$2,
 IF(COUNTIF($Y$3:$Y$20,B260)&gt;0,$Y$2,
 IF(COUNTIF($Z$3:$Z$20,B260)&gt;0,$Z$2,
 IF(COUNTIF($AA$3:$AA$20,B260)&gt;0,$AA$2,
 IF(COUNTIF($AB$3:$AB$20,B260)&gt;0,$AB$2,
 IF(COUNTIF($AC$3:$AC$20,B260)&gt;0,$AC$2,
 IF(COUNTIF($AD$3:$AD$20,B260)&gt;0,$AD$2,
 "Not Found")))))))</f>
        <v>Not Found</v>
      </c>
      <c r="D260" s="2" t="s">
        <v>10</v>
      </c>
      <c r="E260" s="2" t="s">
        <v>11</v>
      </c>
      <c r="F260" s="2">
        <v>144</v>
      </c>
      <c r="G260" s="4">
        <v>0.38200000000000001</v>
      </c>
      <c r="H260" s="2">
        <v>-704</v>
      </c>
      <c r="I260" s="2">
        <v>101</v>
      </c>
      <c r="J260" s="2">
        <v>107.7</v>
      </c>
      <c r="K260" s="4">
        <v>0.54400000000000004</v>
      </c>
      <c r="L260" s="4">
        <v>0.56100000000000005</v>
      </c>
      <c r="M260" s="2">
        <v>142</v>
      </c>
      <c r="N260" s="4">
        <v>0.70899999999999996</v>
      </c>
      <c r="O260" s="8">
        <f>Table1[[#This Row],[PT MARGIN]]/Table1[[#This Row],[G]]</f>
        <v>-4.8888888888888893</v>
      </c>
    </row>
    <row r="261" spans="1:15" hidden="1" x14ac:dyDescent="0.2">
      <c r="A261" s="1">
        <v>270</v>
      </c>
      <c r="B261" s="2" t="s">
        <v>314</v>
      </c>
      <c r="C261" s="2" t="str">
        <f>IF(COUNTIF($X$3:$X$20,B261)&gt;0,$X$2,
 IF(COUNTIF($Y$3:$Y$20,B261)&gt;0,$Y$2,
 IF(COUNTIF($Z$3:$Z$20,B261)&gt;0,$Z$2,
 IF(COUNTIF($AA$3:$AA$20,B261)&gt;0,$AA$2,
 IF(COUNTIF($AB$3:$AB$20,B261)&gt;0,$AB$2,
 IF(COUNTIF($AC$3:$AC$20,B261)&gt;0,$AC$2,
 IF(COUNTIF($AD$3:$AD$20,B261)&gt;0,$AD$2,
 "Not Found")))))))</f>
        <v>Not Found</v>
      </c>
      <c r="D261" s="2" t="s">
        <v>10</v>
      </c>
      <c r="E261" s="2" t="s">
        <v>11</v>
      </c>
      <c r="F261" s="2">
        <v>120</v>
      </c>
      <c r="G261" s="4">
        <v>0.317</v>
      </c>
      <c r="H261" s="2">
        <v>-989</v>
      </c>
      <c r="I261" s="2">
        <v>96.4</v>
      </c>
      <c r="J261" s="2">
        <v>108.1</v>
      </c>
      <c r="K261" s="4">
        <v>0.52</v>
      </c>
      <c r="L261" s="4">
        <v>0.56599999999999995</v>
      </c>
      <c r="M261" s="2">
        <v>264</v>
      </c>
      <c r="N261" s="4">
        <v>0.72099999999999997</v>
      </c>
      <c r="O261" s="8">
        <f>Table1[[#This Row],[PT MARGIN]]/Table1[[#This Row],[G]]</f>
        <v>-8.2416666666666671</v>
      </c>
    </row>
    <row r="262" spans="1:15" hidden="1" x14ac:dyDescent="0.2">
      <c r="A262" s="1">
        <v>11</v>
      </c>
      <c r="B262" s="2" t="s">
        <v>21</v>
      </c>
      <c r="C262" s="2" t="str">
        <f>IF(COUNTIF($X$3:$X$20,B262)&gt;0,$X$2,
 IF(COUNTIF($Y$3:$Y$20,B262)&gt;0,$Y$2,
 IF(COUNTIF($Z$3:$Z$20,B262)&gt;0,$Z$2,
 IF(COUNTIF($AA$3:$AA$20,B262)&gt;0,$AA$2,
 IF(COUNTIF($AB$3:$AB$20,B262)&gt;0,$AB$2,
 IF(COUNTIF($AC$3:$AC$20,B262)&gt;0,$AC$2,
 IF(COUNTIF($AD$3:$AD$20,B262)&gt;0,$AD$2,
 "Not Found")))))))</f>
        <v>Not Found</v>
      </c>
      <c r="D262" s="2" t="s">
        <v>10</v>
      </c>
      <c r="E262" s="2" t="s">
        <v>11</v>
      </c>
      <c r="F262" s="2">
        <v>108</v>
      </c>
      <c r="G262" s="4">
        <v>0.57399999999999995</v>
      </c>
      <c r="H262" s="2">
        <v>280</v>
      </c>
      <c r="I262" s="2">
        <v>102.4</v>
      </c>
      <c r="J262" s="2">
        <v>98.6</v>
      </c>
      <c r="K262" s="4">
        <v>0.53</v>
      </c>
      <c r="L262" s="4">
        <v>0.51900000000000002</v>
      </c>
      <c r="M262" s="2">
        <v>147</v>
      </c>
      <c r="N262" s="4">
        <v>0.70899999999999996</v>
      </c>
      <c r="O262" s="8">
        <f>Table1[[#This Row],[PT MARGIN]]/Table1[[#This Row],[G]]</f>
        <v>2.5925925925925926</v>
      </c>
    </row>
    <row r="263" spans="1:15" hidden="1" x14ac:dyDescent="0.2">
      <c r="A263" s="1">
        <v>41</v>
      </c>
      <c r="B263" s="2" t="s">
        <v>51</v>
      </c>
      <c r="C263" s="2" t="str">
        <f>IF(COUNTIF($X$3:$X$20,B263)&gt;0,$X$2,
 IF(COUNTIF($Y$3:$Y$20,B263)&gt;0,$Y$2,
 IF(COUNTIF($Z$3:$Z$20,B263)&gt;0,$Z$2,
 IF(COUNTIF($AA$3:$AA$20,B263)&gt;0,$AA$2,
 IF(COUNTIF($AB$3:$AB$20,B263)&gt;0,$AB$2,
 IF(COUNTIF($AC$3:$AC$20,B263)&gt;0,$AC$2,
 IF(COUNTIF($AD$3:$AD$20,B263)&gt;0,$AD$2,
 "Not Found")))))))</f>
        <v>Not Found</v>
      </c>
      <c r="D263" s="2" t="s">
        <v>10</v>
      </c>
      <c r="E263" s="2" t="s">
        <v>11</v>
      </c>
      <c r="F263" s="2">
        <v>109</v>
      </c>
      <c r="G263" s="4">
        <v>0.495</v>
      </c>
      <c r="H263" s="2">
        <v>17</v>
      </c>
      <c r="I263" s="2">
        <v>101.8</v>
      </c>
      <c r="J263" s="2">
        <v>101.5</v>
      </c>
      <c r="K263" s="4">
        <v>0.53300000000000003</v>
      </c>
      <c r="L263" s="4">
        <v>0.54200000000000004</v>
      </c>
      <c r="M263" s="2">
        <v>347</v>
      </c>
      <c r="N263" s="4">
        <v>0.72499999999999998</v>
      </c>
      <c r="O263" s="8">
        <f>Table1[[#This Row],[PT MARGIN]]/Table1[[#This Row],[G]]</f>
        <v>0.15596330275229359</v>
      </c>
    </row>
    <row r="264" spans="1:15" hidden="1" x14ac:dyDescent="0.2">
      <c r="A264" s="1">
        <v>348</v>
      </c>
      <c r="B264" s="2" t="s">
        <v>236</v>
      </c>
      <c r="C264" s="2" t="str">
        <f>IF(COUNTIF($X$3:$X$20,B264)&gt;0,$X$2,
 IF(COUNTIF($Y$3:$Y$20,B264)&gt;0,$Y$2,
 IF(COUNTIF($Z$3:$Z$20,B264)&gt;0,$Z$2,
 IF(COUNTIF($AA$3:$AA$20,B264)&gt;0,$AA$2,
 IF(COUNTIF($AB$3:$AB$20,B264)&gt;0,$AB$2,
 IF(COUNTIF($AC$3:$AC$20,B264)&gt;0,$AC$2,
 IF(COUNTIF($AD$3:$AD$20,B264)&gt;0,$AD$2,
 "Not Found")))))))</f>
        <v>Not Found</v>
      </c>
      <c r="D264" s="2" t="s">
        <v>10</v>
      </c>
      <c r="E264" s="2" t="s">
        <v>11</v>
      </c>
      <c r="F264" s="2">
        <v>127</v>
      </c>
      <c r="G264" s="4">
        <v>0.14199999999999999</v>
      </c>
      <c r="H264" s="2">
        <v>-1733</v>
      </c>
      <c r="I264" s="2">
        <v>93.7</v>
      </c>
      <c r="J264" s="2">
        <v>113.2</v>
      </c>
      <c r="K264" s="4">
        <v>0.50600000000000001</v>
      </c>
      <c r="L264" s="4">
        <v>0.57699999999999996</v>
      </c>
      <c r="M264" s="2">
        <v>228</v>
      </c>
      <c r="N264" s="4">
        <v>0.72599999999999998</v>
      </c>
      <c r="O264" s="8">
        <f>Table1[[#This Row],[PT MARGIN]]/Table1[[#This Row],[G]]</f>
        <v>-13.645669291338583</v>
      </c>
    </row>
    <row r="265" spans="1:15" hidden="1" x14ac:dyDescent="0.2">
      <c r="A265" s="1">
        <v>102</v>
      </c>
      <c r="B265" s="2" t="s">
        <v>116</v>
      </c>
      <c r="C265" s="2" t="str">
        <f>IF(COUNTIF($X$3:$X$20,B265)&gt;0,$X$2,
 IF(COUNTIF($Y$3:$Y$20,B265)&gt;0,$Y$2,
 IF(COUNTIF($Z$3:$Z$20,B265)&gt;0,$Z$2,
 IF(COUNTIF($AA$3:$AA$20,B265)&gt;0,$AA$2,
 IF(COUNTIF($AB$3:$AB$20,B265)&gt;0,$AB$2,
 IF(COUNTIF($AC$3:$AC$20,B265)&gt;0,$AC$2,
 IF(COUNTIF($AD$3:$AD$20,B265)&gt;0,$AD$2,
 "Not Found")))))))</f>
        <v>Not Found</v>
      </c>
      <c r="D265" s="2" t="s">
        <v>10</v>
      </c>
      <c r="E265" s="2" t="s">
        <v>11</v>
      </c>
      <c r="F265" s="2">
        <v>102</v>
      </c>
      <c r="G265" s="4">
        <v>0.45100000000000001</v>
      </c>
      <c r="H265" s="2">
        <v>-319</v>
      </c>
      <c r="I265" s="2">
        <v>102</v>
      </c>
      <c r="J265" s="2">
        <v>106.5</v>
      </c>
      <c r="K265" s="4">
        <v>0.54300000000000004</v>
      </c>
      <c r="L265" s="4">
        <v>0.54800000000000004</v>
      </c>
      <c r="M265" s="2">
        <v>164</v>
      </c>
      <c r="N265" s="4">
        <v>0.72599999999999998</v>
      </c>
      <c r="O265" s="8">
        <f>Table1[[#This Row],[PT MARGIN]]/Table1[[#This Row],[G]]</f>
        <v>-3.1274509803921569</v>
      </c>
    </row>
    <row r="266" spans="1:15" hidden="1" x14ac:dyDescent="0.2">
      <c r="A266" s="1">
        <v>292</v>
      </c>
      <c r="B266" s="2" t="s">
        <v>292</v>
      </c>
      <c r="C266" s="2" t="str">
        <f>IF(COUNTIF($X$3:$X$20,B266)&gt;0,$X$2,
 IF(COUNTIF($Y$3:$Y$20,B266)&gt;0,$Y$2,
 IF(COUNTIF($Z$3:$Z$20,B266)&gt;0,$Z$2,
 IF(COUNTIF($AA$3:$AA$20,B266)&gt;0,$AA$2,
 IF(COUNTIF($AB$3:$AB$20,B266)&gt;0,$AB$2,
 IF(COUNTIF($AC$3:$AC$20,B266)&gt;0,$AC$2,
 IF(COUNTIF($AD$3:$AD$20,B266)&gt;0,$AD$2,
 "Not Found")))))))</f>
        <v>Not Found</v>
      </c>
      <c r="D266" s="2" t="s">
        <v>10</v>
      </c>
      <c r="E266" s="2" t="s">
        <v>120</v>
      </c>
      <c r="F266" s="2">
        <v>65</v>
      </c>
      <c r="G266" s="4">
        <v>0.246</v>
      </c>
      <c r="H266" s="2">
        <v>-1108</v>
      </c>
      <c r="I266" s="2">
        <v>91.3</v>
      </c>
      <c r="J266" s="2">
        <v>112.6</v>
      </c>
      <c r="K266" s="4">
        <v>0.48799999999999999</v>
      </c>
      <c r="L266" s="4">
        <v>0.58099999999999996</v>
      </c>
      <c r="M266" s="2">
        <v>209</v>
      </c>
      <c r="N266" s="4">
        <v>0.71199999999999997</v>
      </c>
      <c r="O266" s="8">
        <f>Table1[[#This Row],[PT MARGIN]]/Table1[[#This Row],[G]]</f>
        <v>-17.046153846153846</v>
      </c>
    </row>
    <row r="267" spans="1:15" hidden="1" x14ac:dyDescent="0.2">
      <c r="A267" s="1">
        <v>179</v>
      </c>
      <c r="B267" s="2" t="s">
        <v>195</v>
      </c>
      <c r="C267" s="2" t="str">
        <f>IF(COUNTIF($X$3:$X$20,B267)&gt;0,$X$2,
 IF(COUNTIF($Y$3:$Y$20,B267)&gt;0,$Y$2,
 IF(COUNTIF($Z$3:$Z$20,B267)&gt;0,$Z$2,
 IF(COUNTIF($AA$3:$AA$20,B267)&gt;0,$AA$2,
 IF(COUNTIF($AB$3:$AB$20,B267)&gt;0,$AB$2,
 IF(COUNTIF($AC$3:$AC$20,B267)&gt;0,$AC$2,
 IF(COUNTIF($AD$3:$AD$20,B267)&gt;0,$AD$2,
 "Not Found")))))))</f>
        <v>Not Found</v>
      </c>
      <c r="D267" s="2" t="s">
        <v>10</v>
      </c>
      <c r="E267" s="2" t="s">
        <v>11</v>
      </c>
      <c r="F267" s="2">
        <v>124</v>
      </c>
      <c r="G267" s="4">
        <v>0.32300000000000001</v>
      </c>
      <c r="H267" s="2">
        <v>-589</v>
      </c>
      <c r="I267" s="2">
        <v>96.7</v>
      </c>
      <c r="J267" s="2">
        <v>103.4</v>
      </c>
      <c r="K267" s="4">
        <v>0.51</v>
      </c>
      <c r="L267" s="4">
        <v>0.54700000000000004</v>
      </c>
      <c r="M267" s="2">
        <v>217</v>
      </c>
      <c r="N267" s="4">
        <v>0.73199999999999998</v>
      </c>
      <c r="O267" s="8">
        <f>Table1[[#This Row],[PT MARGIN]]/Table1[[#This Row],[G]]</f>
        <v>-4.75</v>
      </c>
    </row>
    <row r="268" spans="1:15" x14ac:dyDescent="0.2">
      <c r="A268" s="1">
        <v>96</v>
      </c>
      <c r="B268" s="2" t="s">
        <v>109</v>
      </c>
      <c r="C268" s="2" t="str">
        <f>IF(COUNTIF($X$3:$X$20,B268)&gt;0,$X$2,
 IF(COUNTIF($Y$3:$Y$20,B268)&gt;0,$Y$2,
 IF(COUNTIF($Z$3:$Z$20,B268)&gt;0,$Z$2,
 IF(COUNTIF($AA$3:$AA$20,B268)&gt;0,$AA$2,
 IF(COUNTIF($AB$3:$AB$20,B268)&gt;0,$AB$2,
 IF(COUNTIF($AC$3:$AC$20,B268)&gt;0,$AC$2,
 IF(COUNTIF($AD$3:$AD$20,B268)&gt;0,$AD$2,
 "Not Found")))))))</f>
        <v>Big East</v>
      </c>
      <c r="D268" s="2" t="s">
        <v>10</v>
      </c>
      <c r="E268" s="2" t="s">
        <v>11</v>
      </c>
      <c r="F268" s="2">
        <v>113</v>
      </c>
      <c r="G268" s="4">
        <v>0.442</v>
      </c>
      <c r="H268" s="2">
        <v>-292</v>
      </c>
      <c r="I268" s="2">
        <v>100</v>
      </c>
      <c r="J268" s="2">
        <v>103.7</v>
      </c>
      <c r="K268" s="4">
        <v>0.52200000000000002</v>
      </c>
      <c r="L268" s="4">
        <v>0.54200000000000004</v>
      </c>
      <c r="M268" s="2">
        <v>182</v>
      </c>
      <c r="N268" s="4">
        <v>0.73099999999999998</v>
      </c>
      <c r="O268" s="8">
        <f>Table1[[#This Row],[PT MARGIN]]/Table1[[#This Row],[G]]</f>
        <v>-2.584070796460177</v>
      </c>
    </row>
    <row r="269" spans="1:15" hidden="1" x14ac:dyDescent="0.2">
      <c r="A269" s="1">
        <v>205</v>
      </c>
      <c r="B269" s="2" t="s">
        <v>379</v>
      </c>
      <c r="C269" s="2" t="str">
        <f>IF(COUNTIF($X$3:$X$20,B269)&gt;0,$X$2,
 IF(COUNTIF($Y$3:$Y$20,B269)&gt;0,$Y$2,
 IF(COUNTIF($Z$3:$Z$20,B269)&gt;0,$Z$2,
 IF(COUNTIF($AA$3:$AA$20,B269)&gt;0,$AA$2,
 IF(COUNTIF($AB$3:$AB$20,B269)&gt;0,$AB$2,
 IF(COUNTIF($AC$3:$AC$20,B269)&gt;0,$AC$2,
 IF(COUNTIF($AD$3:$AD$20,B269)&gt;0,$AD$2,
 "Not Found")))))))</f>
        <v>Not Found</v>
      </c>
      <c r="D269" s="2" t="s">
        <v>10</v>
      </c>
      <c r="E269" s="2" t="s">
        <v>11</v>
      </c>
      <c r="F269" s="2">
        <v>146</v>
      </c>
      <c r="G269" s="4">
        <v>0.35599999999999998</v>
      </c>
      <c r="H269" s="2">
        <v>-683</v>
      </c>
      <c r="I269" s="2">
        <v>98.2</v>
      </c>
      <c r="J269" s="2">
        <v>105</v>
      </c>
      <c r="K269" s="4">
        <v>0.52</v>
      </c>
      <c r="L269" s="4">
        <v>0.54700000000000004</v>
      </c>
      <c r="M269" s="2">
        <v>127</v>
      </c>
      <c r="N269" s="4">
        <v>0.72</v>
      </c>
      <c r="O269" s="8">
        <f>Table1[[#This Row],[PT MARGIN]]/Table1[[#This Row],[G]]</f>
        <v>-4.6780821917808222</v>
      </c>
    </row>
    <row r="270" spans="1:15" hidden="1" x14ac:dyDescent="0.2">
      <c r="A270" s="1">
        <v>322</v>
      </c>
      <c r="B270" s="2" t="s">
        <v>262</v>
      </c>
      <c r="C270" s="2" t="str">
        <f>IF(COUNTIF($X$3:$X$20,B270)&gt;0,$X$2,
 IF(COUNTIF($Y$3:$Y$20,B270)&gt;0,$Y$2,
 IF(COUNTIF($Z$3:$Z$20,B270)&gt;0,$Z$2,
 IF(COUNTIF($AA$3:$AA$20,B270)&gt;0,$AA$2,
 IF(COUNTIF($AB$3:$AB$20,B270)&gt;0,$AB$2,
 IF(COUNTIF($AC$3:$AC$20,B270)&gt;0,$AC$2,
 IF(COUNTIF($AD$3:$AD$20,B270)&gt;0,$AD$2,
 "Not Found")))))))</f>
        <v>Not Found</v>
      </c>
      <c r="D270" s="2" t="s">
        <v>10</v>
      </c>
      <c r="E270" s="2" t="s">
        <v>11</v>
      </c>
      <c r="F270" s="2">
        <v>149</v>
      </c>
      <c r="G270" s="4">
        <v>0.27500000000000002</v>
      </c>
      <c r="H270" s="2">
        <v>-1374</v>
      </c>
      <c r="I270" s="2">
        <v>94.5</v>
      </c>
      <c r="J270" s="2">
        <v>107.4</v>
      </c>
      <c r="K270" s="4">
        <v>0.5</v>
      </c>
      <c r="L270" s="4">
        <v>0.56499999999999995</v>
      </c>
      <c r="M270" s="2">
        <v>386</v>
      </c>
      <c r="N270" s="4">
        <v>0.71899999999999997</v>
      </c>
      <c r="O270" s="8">
        <f>Table1[[#This Row],[PT MARGIN]]/Table1[[#This Row],[G]]</f>
        <v>-9.2214765100671148</v>
      </c>
    </row>
    <row r="271" spans="1:15" hidden="1" x14ac:dyDescent="0.2">
      <c r="A271" s="1">
        <v>55</v>
      </c>
      <c r="B271" s="2" t="s">
        <v>65</v>
      </c>
      <c r="C271" s="2" t="str">
        <f>IF(COUNTIF($X$3:$X$20,B271)&gt;0,$X$2,
 IF(COUNTIF($Y$3:$Y$20,B271)&gt;0,$Y$2,
 IF(COUNTIF($Z$3:$Z$20,B271)&gt;0,$Z$2,
 IF(COUNTIF($AA$3:$AA$20,B271)&gt;0,$AA$2,
 IF(COUNTIF($AB$3:$AB$20,B271)&gt;0,$AB$2,
 IF(COUNTIF($AC$3:$AC$20,B271)&gt;0,$AC$2,
 IF(COUNTIF($AD$3:$AD$20,B271)&gt;0,$AD$2,
 "Not Found")))))))</f>
        <v>Not Found</v>
      </c>
      <c r="D271" s="2" t="s">
        <v>10</v>
      </c>
      <c r="E271" s="2" t="s">
        <v>11</v>
      </c>
      <c r="F271" s="2">
        <v>108</v>
      </c>
      <c r="G271" s="4">
        <v>0.44400000000000001</v>
      </c>
      <c r="H271" s="2">
        <v>-56</v>
      </c>
      <c r="I271" s="2">
        <v>102.6</v>
      </c>
      <c r="J271" s="2">
        <v>103.4</v>
      </c>
      <c r="K271" s="4">
        <v>0.52900000000000003</v>
      </c>
      <c r="L271" s="4">
        <v>0.53100000000000003</v>
      </c>
      <c r="M271" s="2">
        <v>148</v>
      </c>
      <c r="N271" s="4">
        <v>0.71499999999999997</v>
      </c>
      <c r="O271" s="8">
        <f>Table1[[#This Row],[PT MARGIN]]/Table1[[#This Row],[G]]</f>
        <v>-0.51851851851851849</v>
      </c>
    </row>
    <row r="272" spans="1:15" hidden="1" x14ac:dyDescent="0.2">
      <c r="A272" s="1">
        <v>208</v>
      </c>
      <c r="B272" s="2" t="s">
        <v>376</v>
      </c>
      <c r="C272" s="2" t="str">
        <f>IF(COUNTIF($X$3:$X$20,B272)&gt;0,$X$2,
 IF(COUNTIF($Y$3:$Y$20,B272)&gt;0,$Y$2,
 IF(COUNTIF($Z$3:$Z$20,B272)&gt;0,$Z$2,
 IF(COUNTIF($AA$3:$AA$20,B272)&gt;0,$AA$2,
 IF(COUNTIF($AB$3:$AB$20,B272)&gt;0,$AB$2,
 IF(COUNTIF($AC$3:$AC$20,B272)&gt;0,$AC$2,
 IF(COUNTIF($AD$3:$AD$20,B272)&gt;0,$AD$2,
 "Not Found")))))))</f>
        <v>Not Found</v>
      </c>
      <c r="D272" s="2" t="s">
        <v>10</v>
      </c>
      <c r="E272" s="2" t="s">
        <v>11</v>
      </c>
      <c r="F272" s="2">
        <v>134</v>
      </c>
      <c r="G272" s="4">
        <v>0.35099999999999998</v>
      </c>
      <c r="H272" s="2">
        <v>-692</v>
      </c>
      <c r="I272" s="2">
        <v>96.6</v>
      </c>
      <c r="J272" s="2">
        <v>103.9</v>
      </c>
      <c r="K272" s="4">
        <v>0.51700000000000002</v>
      </c>
      <c r="L272" s="4">
        <v>0.54400000000000004</v>
      </c>
      <c r="M272" s="2">
        <v>152</v>
      </c>
      <c r="N272" s="4">
        <v>0.71099999999999997</v>
      </c>
      <c r="O272" s="8">
        <f>Table1[[#This Row],[PT MARGIN]]/Table1[[#This Row],[G]]</f>
        <v>-5.1641791044776122</v>
      </c>
    </row>
    <row r="273" spans="1:15" x14ac:dyDescent="0.2">
      <c r="A273" s="1">
        <v>174</v>
      </c>
      <c r="B273" s="2" t="s">
        <v>190</v>
      </c>
      <c r="C273" s="2" t="str">
        <f>IF(COUNTIF($X$3:$X$20,B273)&gt;0,$X$2,
 IF(COUNTIF($Y$3:$Y$20,B273)&gt;0,$Y$2,
 IF(COUNTIF($Z$3:$Z$20,B273)&gt;0,$Z$2,
 IF(COUNTIF($AA$3:$AA$20,B273)&gt;0,$AA$2,
 IF(COUNTIF($AB$3:$AB$20,B273)&gt;0,$AB$2,
 IF(COUNTIF($AC$3:$AC$20,B273)&gt;0,$AC$2,
 IF(COUNTIF($AD$3:$AD$20,B273)&gt;0,$AD$2,
 "Not Found")))))))</f>
        <v>SEC</v>
      </c>
      <c r="D273" s="2" t="s">
        <v>10</v>
      </c>
      <c r="E273" s="2" t="s">
        <v>11</v>
      </c>
      <c r="F273" s="2">
        <v>111</v>
      </c>
      <c r="G273" s="4">
        <v>0.39600000000000002</v>
      </c>
      <c r="H273" s="2">
        <v>-581</v>
      </c>
      <c r="I273" s="2">
        <v>96.6</v>
      </c>
      <c r="J273" s="2">
        <v>104</v>
      </c>
      <c r="K273" s="4">
        <v>0.51100000000000001</v>
      </c>
      <c r="L273" s="4">
        <v>0.55300000000000005</v>
      </c>
      <c r="M273" s="2">
        <v>273</v>
      </c>
      <c r="N273" s="4">
        <v>0.73299999999999998</v>
      </c>
      <c r="O273" s="8">
        <f>Table1[[#This Row],[PT MARGIN]]/Table1[[#This Row],[G]]</f>
        <v>-5.2342342342342345</v>
      </c>
    </row>
    <row r="274" spans="1:15" hidden="1" x14ac:dyDescent="0.2">
      <c r="A274" s="1">
        <v>358</v>
      </c>
      <c r="B274" s="2" t="s">
        <v>226</v>
      </c>
      <c r="C274" s="2" t="str">
        <f>IF(COUNTIF($X$3:$X$20,B274)&gt;0,$X$2,
 IF(COUNTIF($Y$3:$Y$20,B274)&gt;0,$Y$2,
 IF(COUNTIF($Z$3:$Z$20,B274)&gt;0,$Z$2,
 IF(COUNTIF($AA$3:$AA$20,B274)&gt;0,$AA$2,
 IF(COUNTIF($AB$3:$AB$20,B274)&gt;0,$AB$2,
 IF(COUNTIF($AC$3:$AC$20,B274)&gt;0,$AC$2,
 IF(COUNTIF($AD$3:$AD$20,B274)&gt;0,$AD$2,
 "Not Found")))))))</f>
        <v>Not Found</v>
      </c>
      <c r="D274" s="2" t="s">
        <v>10</v>
      </c>
      <c r="E274" s="2" t="s">
        <v>11</v>
      </c>
      <c r="F274" s="2">
        <v>168</v>
      </c>
      <c r="G274" s="4">
        <v>0.20799999999999999</v>
      </c>
      <c r="H274" s="2">
        <v>-2078</v>
      </c>
      <c r="I274" s="2">
        <v>91.5</v>
      </c>
      <c r="J274" s="2">
        <v>108.6</v>
      </c>
      <c r="K274" s="4">
        <v>0.48499999999999999</v>
      </c>
      <c r="L274" s="4">
        <v>0.57599999999999996</v>
      </c>
      <c r="M274" s="2">
        <v>450</v>
      </c>
      <c r="N274" s="4">
        <v>0.71699999999999997</v>
      </c>
      <c r="O274" s="8">
        <f>Table1[[#This Row],[PT MARGIN]]/Table1[[#This Row],[G]]</f>
        <v>-12.369047619047619</v>
      </c>
    </row>
    <row r="275" spans="1:15" hidden="1" x14ac:dyDescent="0.2">
      <c r="A275" s="1">
        <v>218</v>
      </c>
      <c r="B275" s="2" t="s">
        <v>366</v>
      </c>
      <c r="C275" s="2" t="str">
        <f>IF(COUNTIF($X$3:$X$20,B275)&gt;0,$X$2,
 IF(COUNTIF($Y$3:$Y$20,B275)&gt;0,$Y$2,
 IF(COUNTIF($Z$3:$Z$20,B275)&gt;0,$Z$2,
 IF(COUNTIF($AA$3:$AA$20,B275)&gt;0,$AA$2,
 IF(COUNTIF($AB$3:$AB$20,B275)&gt;0,$AB$2,
 IF(COUNTIF($AC$3:$AC$20,B275)&gt;0,$AC$2,
 IF(COUNTIF($AD$3:$AD$20,B275)&gt;0,$AD$2,
 "Not Found")))))))</f>
        <v>Not Found</v>
      </c>
      <c r="D275" s="2" t="s">
        <v>10</v>
      </c>
      <c r="E275" s="2" t="s">
        <v>11</v>
      </c>
      <c r="F275" s="2">
        <v>131</v>
      </c>
      <c r="G275" s="4">
        <v>0.374</v>
      </c>
      <c r="H275" s="2">
        <v>-724</v>
      </c>
      <c r="I275" s="2">
        <v>102.2</v>
      </c>
      <c r="J275" s="2">
        <v>109.9</v>
      </c>
      <c r="K275" s="4">
        <v>0.53800000000000003</v>
      </c>
      <c r="L275" s="4">
        <v>0.56699999999999995</v>
      </c>
      <c r="M275" s="2">
        <v>121</v>
      </c>
      <c r="N275" s="4">
        <v>0.73699999999999999</v>
      </c>
      <c r="O275" s="8">
        <f>Table1[[#This Row],[PT MARGIN]]/Table1[[#This Row],[G]]</f>
        <v>-5.5267175572519083</v>
      </c>
    </row>
    <row r="276" spans="1:15" hidden="1" x14ac:dyDescent="0.2">
      <c r="A276" s="1">
        <v>66</v>
      </c>
      <c r="B276" s="2" t="s">
        <v>77</v>
      </c>
      <c r="C276" s="2" t="str">
        <f>IF(COUNTIF($X$3:$X$20,B276)&gt;0,$X$2,
 IF(COUNTIF($Y$3:$Y$20,B276)&gt;0,$Y$2,
 IF(COUNTIF($Z$3:$Z$20,B276)&gt;0,$Z$2,
 IF(COUNTIF($AA$3:$AA$20,B276)&gt;0,$AA$2,
 IF(COUNTIF($AB$3:$AB$20,B276)&gt;0,$AB$2,
 IF(COUNTIF($AC$3:$AC$20,B276)&gt;0,$AC$2,
 IF(COUNTIF($AD$3:$AD$20,B276)&gt;0,$AD$2,
 "Not Found")))))))</f>
        <v>Not Found</v>
      </c>
      <c r="D276" s="2" t="s">
        <v>10</v>
      </c>
      <c r="E276" s="2" t="s">
        <v>11</v>
      </c>
      <c r="F276" s="2">
        <v>127</v>
      </c>
      <c r="G276" s="4">
        <v>0.48799999999999999</v>
      </c>
      <c r="H276" s="2">
        <v>-116</v>
      </c>
      <c r="I276" s="2">
        <v>106.8</v>
      </c>
      <c r="J276" s="2">
        <v>108.1</v>
      </c>
      <c r="K276" s="4">
        <v>0.56999999999999995</v>
      </c>
      <c r="L276" s="4">
        <v>0.55800000000000005</v>
      </c>
      <c r="M276" s="2">
        <v>-7</v>
      </c>
      <c r="N276" s="4">
        <v>0.73199999999999998</v>
      </c>
      <c r="O276" s="8">
        <f>Table1[[#This Row],[PT MARGIN]]/Table1[[#This Row],[G]]</f>
        <v>-0.91338582677165359</v>
      </c>
    </row>
    <row r="277" spans="1:15" hidden="1" x14ac:dyDescent="0.2">
      <c r="A277" s="1">
        <v>236</v>
      </c>
      <c r="B277" s="2" t="s">
        <v>348</v>
      </c>
      <c r="C277" s="2" t="str">
        <f>IF(COUNTIF($X$3:$X$20,B277)&gt;0,$X$2,
 IF(COUNTIF($Y$3:$Y$20,B277)&gt;0,$Y$2,
 IF(COUNTIF($Z$3:$Z$20,B277)&gt;0,$Z$2,
 IF(COUNTIF($AA$3:$AA$20,B277)&gt;0,$AA$2,
 IF(COUNTIF($AB$3:$AB$20,B277)&gt;0,$AB$2,
 IF(COUNTIF($AC$3:$AC$20,B277)&gt;0,$AC$2,
 IF(COUNTIF($AD$3:$AD$20,B277)&gt;0,$AD$2,
 "Not Found")))))))</f>
        <v>Not Found</v>
      </c>
      <c r="D277" s="2" t="s">
        <v>10</v>
      </c>
      <c r="E277" s="2" t="s">
        <v>11</v>
      </c>
      <c r="F277" s="2">
        <v>108</v>
      </c>
      <c r="G277" s="4">
        <v>0.29599999999999999</v>
      </c>
      <c r="H277" s="2">
        <v>-810</v>
      </c>
      <c r="I277" s="2">
        <v>94.7</v>
      </c>
      <c r="J277" s="2">
        <v>105.5</v>
      </c>
      <c r="K277" s="4">
        <v>0.502</v>
      </c>
      <c r="L277" s="4">
        <v>0.54800000000000004</v>
      </c>
      <c r="M277" s="2">
        <v>189</v>
      </c>
      <c r="N277" s="4">
        <v>0.70499999999999996</v>
      </c>
      <c r="O277" s="8">
        <f>Table1[[#This Row],[PT MARGIN]]/Table1[[#This Row],[G]]</f>
        <v>-7.5</v>
      </c>
    </row>
    <row r="278" spans="1:15" hidden="1" x14ac:dyDescent="0.2">
      <c r="A278" s="1">
        <v>315</v>
      </c>
      <c r="B278" s="2" t="s">
        <v>269</v>
      </c>
      <c r="C278" s="2" t="str">
        <f>IF(COUNTIF($X$3:$X$20,B278)&gt;0,$X$2,
 IF(COUNTIF($Y$3:$Y$20,B278)&gt;0,$Y$2,
 IF(COUNTIF($Z$3:$Z$20,B278)&gt;0,$Z$2,
 IF(COUNTIF($AA$3:$AA$20,B278)&gt;0,$AA$2,
 IF(COUNTIF($AB$3:$AB$20,B278)&gt;0,$AB$2,
 IF(COUNTIF($AC$3:$AC$20,B278)&gt;0,$AC$2,
 IF(COUNTIF($AD$3:$AD$20,B278)&gt;0,$AD$2,
 "Not Found")))))))</f>
        <v>Not Found</v>
      </c>
      <c r="D278" s="2" t="s">
        <v>10</v>
      </c>
      <c r="E278" s="2" t="s">
        <v>11</v>
      </c>
      <c r="F278" s="2">
        <v>150</v>
      </c>
      <c r="G278" s="4">
        <v>0.24</v>
      </c>
      <c r="H278" s="2">
        <v>-1277</v>
      </c>
      <c r="I278" s="2">
        <v>96.3</v>
      </c>
      <c r="J278" s="2">
        <v>108.2</v>
      </c>
      <c r="K278" s="4">
        <v>0.51800000000000002</v>
      </c>
      <c r="L278" s="4">
        <v>0.57499999999999996</v>
      </c>
      <c r="M278" s="2">
        <v>450</v>
      </c>
      <c r="N278" s="4">
        <v>0.70299999999999996</v>
      </c>
      <c r="O278" s="8">
        <f>Table1[[#This Row],[PT MARGIN]]/Table1[[#This Row],[G]]</f>
        <v>-8.5133333333333336</v>
      </c>
    </row>
    <row r="279" spans="1:15" hidden="1" x14ac:dyDescent="0.2">
      <c r="A279" s="1">
        <v>305</v>
      </c>
      <c r="B279" s="2" t="s">
        <v>279</v>
      </c>
      <c r="C279" s="2" t="str">
        <f>IF(COUNTIF($X$3:$X$20,B279)&gt;0,$X$2,
 IF(COUNTIF($Y$3:$Y$20,B279)&gt;0,$Y$2,
 IF(COUNTIF($Z$3:$Z$20,B279)&gt;0,$Z$2,
 IF(COUNTIF($AA$3:$AA$20,B279)&gt;0,$AA$2,
 IF(COUNTIF($AB$3:$AB$20,B279)&gt;0,$AB$2,
 IF(COUNTIF($AC$3:$AC$20,B279)&gt;0,$AC$2,
 IF(COUNTIF($AD$3:$AD$20,B279)&gt;0,$AD$2,
 "Not Found")))))))</f>
        <v>Not Found</v>
      </c>
      <c r="D279" s="2" t="s">
        <v>10</v>
      </c>
      <c r="E279" s="2" t="s">
        <v>11</v>
      </c>
      <c r="F279" s="2">
        <v>162</v>
      </c>
      <c r="G279" s="4">
        <v>0.35199999999999998</v>
      </c>
      <c r="H279" s="2">
        <v>-1209</v>
      </c>
      <c r="I279" s="2">
        <v>94.7</v>
      </c>
      <c r="J279" s="2">
        <v>105.2</v>
      </c>
      <c r="K279" s="4">
        <v>0.51300000000000001</v>
      </c>
      <c r="L279" s="4">
        <v>0.55700000000000005</v>
      </c>
      <c r="M279" s="2">
        <v>161</v>
      </c>
      <c r="N279" s="4">
        <v>0.71699999999999997</v>
      </c>
      <c r="O279" s="8">
        <f>Table1[[#This Row],[PT MARGIN]]/Table1[[#This Row],[G]]</f>
        <v>-7.4629629629629628</v>
      </c>
    </row>
    <row r="280" spans="1:15" hidden="1" x14ac:dyDescent="0.2">
      <c r="A280" s="1">
        <v>320</v>
      </c>
      <c r="B280" s="2" t="s">
        <v>264</v>
      </c>
      <c r="C280" s="2" t="str">
        <f>IF(COUNTIF($X$3:$X$20,B280)&gt;0,$X$2,
 IF(COUNTIF($Y$3:$Y$20,B280)&gt;0,$Y$2,
 IF(COUNTIF($Z$3:$Z$20,B280)&gt;0,$Z$2,
 IF(COUNTIF($AA$3:$AA$20,B280)&gt;0,$AA$2,
 IF(COUNTIF($AB$3:$AB$20,B280)&gt;0,$AB$2,
 IF(COUNTIF($AC$3:$AC$20,B280)&gt;0,$AC$2,
 IF(COUNTIF($AD$3:$AD$20,B280)&gt;0,$AD$2,
 "Not Found")))))))</f>
        <v>Not Found</v>
      </c>
      <c r="D280" s="2" t="s">
        <v>10</v>
      </c>
      <c r="E280" s="2" t="s">
        <v>11</v>
      </c>
      <c r="F280" s="2">
        <v>171</v>
      </c>
      <c r="G280" s="4">
        <v>0.30399999999999999</v>
      </c>
      <c r="H280" s="2">
        <v>-1306</v>
      </c>
      <c r="I280" s="2">
        <v>93.1</v>
      </c>
      <c r="J280" s="2">
        <v>103.7</v>
      </c>
      <c r="K280" s="4">
        <v>0.499</v>
      </c>
      <c r="L280" s="4">
        <v>0.55300000000000005</v>
      </c>
      <c r="M280" s="2">
        <v>549</v>
      </c>
      <c r="N280" s="4">
        <v>0.7</v>
      </c>
      <c r="O280" s="8">
        <f>Table1[[#This Row],[PT MARGIN]]/Table1[[#This Row],[G]]</f>
        <v>-7.6374269005847957</v>
      </c>
    </row>
    <row r="281" spans="1:15" x14ac:dyDescent="0.2">
      <c r="A281" s="1">
        <v>76</v>
      </c>
      <c r="B281" s="2" t="s">
        <v>87</v>
      </c>
      <c r="C281" s="2" t="str">
        <f>IF(COUNTIF($X$3:$X$20,B281)&gt;0,$X$2,
 IF(COUNTIF($Y$3:$Y$20,B281)&gt;0,$Y$2,
 IF(COUNTIF($Z$3:$Z$20,B281)&gt;0,$Z$2,
 IF(COUNTIF($AA$3:$AA$20,B281)&gt;0,$AA$2,
 IF(COUNTIF($AB$3:$AB$20,B281)&gt;0,$AB$2,
 IF(COUNTIF($AC$3:$AC$20,B281)&gt;0,$AC$2,
 IF(COUNTIF($AD$3:$AD$20,B281)&gt;0,$AD$2,
 "Not Found")))))))</f>
        <v>Big 10</v>
      </c>
      <c r="D281" s="2" t="s">
        <v>10</v>
      </c>
      <c r="E281" s="2" t="s">
        <v>11</v>
      </c>
      <c r="F281" s="2">
        <v>108</v>
      </c>
      <c r="G281" s="4">
        <v>0.45400000000000001</v>
      </c>
      <c r="H281" s="2">
        <v>-192</v>
      </c>
      <c r="I281" s="2">
        <v>101.7</v>
      </c>
      <c r="J281" s="2">
        <v>104.2</v>
      </c>
      <c r="K281" s="4">
        <v>0.53100000000000003</v>
      </c>
      <c r="L281" s="4">
        <v>0.53200000000000003</v>
      </c>
      <c r="M281" s="2">
        <v>18</v>
      </c>
      <c r="N281" s="4">
        <v>0.72</v>
      </c>
      <c r="O281" s="8">
        <f>Table1[[#This Row],[PT MARGIN]]/Table1[[#This Row],[G]]</f>
        <v>-1.7777777777777777</v>
      </c>
    </row>
    <row r="282" spans="1:15" hidden="1" x14ac:dyDescent="0.2">
      <c r="A282" s="1">
        <v>146</v>
      </c>
      <c r="B282" s="2" t="s">
        <v>162</v>
      </c>
      <c r="C282" s="2" t="str">
        <f>IF(COUNTIF($X$3:$X$20,B282)&gt;0,$X$2,
 IF(COUNTIF($Y$3:$Y$20,B282)&gt;0,$Y$2,
 IF(COUNTIF($Z$3:$Z$20,B282)&gt;0,$Z$2,
 IF(COUNTIF($AA$3:$AA$20,B282)&gt;0,$AA$2,
 IF(COUNTIF($AB$3:$AB$20,B282)&gt;0,$AB$2,
 IF(COUNTIF($AC$3:$AC$20,B282)&gt;0,$AC$2,
 IF(COUNTIF($AD$3:$AD$20,B282)&gt;0,$AD$2,
 "Not Found")))))))</f>
        <v>Not Found</v>
      </c>
      <c r="D282" s="2" t="s">
        <v>10</v>
      </c>
      <c r="E282" s="2" t="s">
        <v>11</v>
      </c>
      <c r="F282" s="2">
        <v>127</v>
      </c>
      <c r="G282" s="4">
        <v>0.42499999999999999</v>
      </c>
      <c r="H282" s="2">
        <v>-483</v>
      </c>
      <c r="I282" s="2">
        <v>97.6</v>
      </c>
      <c r="J282" s="2">
        <v>103.2</v>
      </c>
      <c r="K282" s="4">
        <v>0.52700000000000002</v>
      </c>
      <c r="L282" s="4">
        <v>0.55400000000000005</v>
      </c>
      <c r="M282" s="2">
        <v>144</v>
      </c>
      <c r="N282" s="4">
        <v>0.71399999999999997</v>
      </c>
      <c r="O282" s="8">
        <f>Table1[[#This Row],[PT MARGIN]]/Table1[[#This Row],[G]]</f>
        <v>-3.8031496062992125</v>
      </c>
    </row>
    <row r="283" spans="1:15" hidden="1" x14ac:dyDescent="0.2">
      <c r="A283" s="1">
        <v>112</v>
      </c>
      <c r="B283" s="2" t="s">
        <v>127</v>
      </c>
      <c r="C283" s="2" t="str">
        <f>IF(COUNTIF($X$3:$X$20,B283)&gt;0,$X$2,
 IF(COUNTIF($Y$3:$Y$20,B283)&gt;0,$Y$2,
 IF(COUNTIF($Z$3:$Z$20,B283)&gt;0,$Z$2,
 IF(COUNTIF($AA$3:$AA$20,B283)&gt;0,$AA$2,
 IF(COUNTIF($AB$3:$AB$20,B283)&gt;0,$AB$2,
 IF(COUNTIF($AC$3:$AC$20,B283)&gt;0,$AC$2,
 IF(COUNTIF($AD$3:$AD$20,B283)&gt;0,$AD$2,
 "Not Found")))))))</f>
        <v>Not Found</v>
      </c>
      <c r="D283" s="2" t="s">
        <v>113</v>
      </c>
      <c r="E283" s="2" t="s">
        <v>11</v>
      </c>
      <c r="F283" s="2">
        <v>47</v>
      </c>
      <c r="G283" s="4">
        <v>0.21299999999999999</v>
      </c>
      <c r="H283" s="2">
        <v>-353</v>
      </c>
      <c r="I283" s="2">
        <v>98.7</v>
      </c>
      <c r="J283" s="2">
        <v>109.2</v>
      </c>
      <c r="K283" s="4">
        <v>0.51800000000000002</v>
      </c>
      <c r="L283" s="4">
        <v>0.56699999999999995</v>
      </c>
      <c r="M283" s="2">
        <v>134</v>
      </c>
      <c r="N283" s="4">
        <v>0.71099999999999997</v>
      </c>
      <c r="O283" s="8">
        <f>Table1[[#This Row],[PT MARGIN]]/Table1[[#This Row],[G]]</f>
        <v>-7.5106382978723403</v>
      </c>
    </row>
    <row r="284" spans="1:15" hidden="1" x14ac:dyDescent="0.2">
      <c r="A284" s="1">
        <v>313</v>
      </c>
      <c r="B284" s="2" t="s">
        <v>271</v>
      </c>
      <c r="C284" s="2" t="str">
        <f>IF(COUNTIF($X$3:$X$20,B284)&gt;0,$X$2,
 IF(COUNTIF($Y$3:$Y$20,B284)&gt;0,$Y$2,
 IF(COUNTIF($Z$3:$Z$20,B284)&gt;0,$Z$2,
 IF(COUNTIF($AA$3:$AA$20,B284)&gt;0,$AA$2,
 IF(COUNTIF($AB$3:$AB$20,B284)&gt;0,$AB$2,
 IF(COUNTIF($AC$3:$AC$20,B284)&gt;0,$AC$2,
 IF(COUNTIF($AD$3:$AD$20,B284)&gt;0,$AD$2,
 "Not Found")))))))</f>
        <v>Not Found</v>
      </c>
      <c r="D284" s="2" t="s">
        <v>10</v>
      </c>
      <c r="E284" s="2" t="s">
        <v>11</v>
      </c>
      <c r="F284" s="2">
        <v>134</v>
      </c>
      <c r="G284" s="4">
        <v>0.224</v>
      </c>
      <c r="H284" s="2">
        <v>-1265</v>
      </c>
      <c r="I284" s="2">
        <v>92.8</v>
      </c>
      <c r="J284" s="2">
        <v>106.5</v>
      </c>
      <c r="K284" s="4">
        <v>0.501</v>
      </c>
      <c r="L284" s="4">
        <v>0.54800000000000004</v>
      </c>
      <c r="M284" s="2">
        <v>257</v>
      </c>
      <c r="N284" s="4">
        <v>0.71099999999999997</v>
      </c>
      <c r="O284" s="8">
        <f>Table1[[#This Row],[PT MARGIN]]/Table1[[#This Row],[G]]</f>
        <v>-9.4402985074626873</v>
      </c>
    </row>
    <row r="285" spans="1:15" hidden="1" x14ac:dyDescent="0.2">
      <c r="A285" s="1">
        <v>284</v>
      </c>
      <c r="B285" s="2" t="s">
        <v>300</v>
      </c>
      <c r="C285" s="2" t="str">
        <f>IF(COUNTIF($X$3:$X$20,B285)&gt;0,$X$2,
 IF(COUNTIF($Y$3:$Y$20,B285)&gt;0,$Y$2,
 IF(COUNTIF($Z$3:$Z$20,B285)&gt;0,$Z$2,
 IF(COUNTIF($AA$3:$AA$20,B285)&gt;0,$AA$2,
 IF(COUNTIF($AB$3:$AB$20,B285)&gt;0,$AB$2,
 IF(COUNTIF($AC$3:$AC$20,B285)&gt;0,$AC$2,
 IF(COUNTIF($AD$3:$AD$20,B285)&gt;0,$AD$2,
 "Not Found")))))))</f>
        <v>Not Found</v>
      </c>
      <c r="D285" s="2" t="s">
        <v>10</v>
      </c>
      <c r="E285" s="2" t="s">
        <v>11</v>
      </c>
      <c r="F285" s="2">
        <v>144</v>
      </c>
      <c r="G285" s="4">
        <v>0.27800000000000002</v>
      </c>
      <c r="H285" s="2">
        <v>-1060</v>
      </c>
      <c r="I285" s="2">
        <v>97</v>
      </c>
      <c r="J285" s="2">
        <v>107.1</v>
      </c>
      <c r="K285" s="4">
        <v>0.51900000000000002</v>
      </c>
      <c r="L285" s="4">
        <v>0.56100000000000005</v>
      </c>
      <c r="M285" s="2">
        <v>212</v>
      </c>
      <c r="N285" s="4">
        <v>0.71699999999999997</v>
      </c>
      <c r="O285" s="8">
        <f>Table1[[#This Row],[PT MARGIN]]/Table1[[#This Row],[G]]</f>
        <v>-7.3611111111111107</v>
      </c>
    </row>
    <row r="286" spans="1:15" hidden="1" x14ac:dyDescent="0.2">
      <c r="A286" s="1">
        <v>63</v>
      </c>
      <c r="B286" s="2" t="s">
        <v>74</v>
      </c>
      <c r="C286" s="2" t="str">
        <f>IF(COUNTIF($X$3:$X$20,B286)&gt;0,$X$2,
 IF(COUNTIF($Y$3:$Y$20,B286)&gt;0,$Y$2,
 IF(COUNTIF($Z$3:$Z$20,B286)&gt;0,$Z$2,
 IF(COUNTIF($AA$3:$AA$20,B286)&gt;0,$AA$2,
 IF(COUNTIF($AB$3:$AB$20,B286)&gt;0,$AB$2,
 IF(COUNTIF($AC$3:$AC$20,B286)&gt;0,$AC$2,
 IF(COUNTIF($AD$3:$AD$20,B286)&gt;0,$AD$2,
 "Not Found")))))))</f>
        <v>Not Found</v>
      </c>
      <c r="D286" s="2" t="s">
        <v>10</v>
      </c>
      <c r="E286" s="2" t="s">
        <v>11</v>
      </c>
      <c r="F286" s="2">
        <v>115</v>
      </c>
      <c r="G286" s="4">
        <v>0.496</v>
      </c>
      <c r="H286" s="2">
        <v>-93</v>
      </c>
      <c r="I286" s="2">
        <v>99.3</v>
      </c>
      <c r="J286" s="2">
        <v>100.5</v>
      </c>
      <c r="K286" s="4">
        <v>0.51800000000000002</v>
      </c>
      <c r="L286" s="4">
        <v>0.53700000000000003</v>
      </c>
      <c r="M286" s="2">
        <v>292</v>
      </c>
      <c r="N286" s="4">
        <v>0.70199999999999996</v>
      </c>
      <c r="O286" s="8">
        <f>Table1[[#This Row],[PT MARGIN]]/Table1[[#This Row],[G]]</f>
        <v>-0.80869565217391304</v>
      </c>
    </row>
    <row r="287" spans="1:15" hidden="1" x14ac:dyDescent="0.2">
      <c r="A287" s="1">
        <v>244</v>
      </c>
      <c r="B287" s="2" t="s">
        <v>340</v>
      </c>
      <c r="C287" s="2" t="str">
        <f>IF(COUNTIF($X$3:$X$20,B287)&gt;0,$X$2,
 IF(COUNTIF($Y$3:$Y$20,B287)&gt;0,$Y$2,
 IF(COUNTIF($Z$3:$Z$20,B287)&gt;0,$Z$2,
 IF(COUNTIF($AA$3:$AA$20,B287)&gt;0,$AA$2,
 IF(COUNTIF($AB$3:$AB$20,B287)&gt;0,$AB$2,
 IF(COUNTIF($AC$3:$AC$20,B287)&gt;0,$AC$2,
 IF(COUNTIF($AD$3:$AD$20,B287)&gt;0,$AD$2,
 "Not Found")))))))</f>
        <v>Not Found</v>
      </c>
      <c r="D287" s="2" t="s">
        <v>10</v>
      </c>
      <c r="E287" s="2" t="s">
        <v>113</v>
      </c>
      <c r="F287" s="2">
        <v>118</v>
      </c>
      <c r="G287" s="4">
        <v>0.29699999999999999</v>
      </c>
      <c r="H287" s="2">
        <v>-855</v>
      </c>
      <c r="I287" s="2">
        <v>92.9</v>
      </c>
      <c r="J287" s="2">
        <v>103.1</v>
      </c>
      <c r="K287" s="4">
        <v>0.48899999999999999</v>
      </c>
      <c r="L287" s="4">
        <v>0.54900000000000004</v>
      </c>
      <c r="M287" s="2">
        <v>299</v>
      </c>
      <c r="N287" s="4">
        <v>0.70699999999999996</v>
      </c>
      <c r="O287" s="8">
        <f>Table1[[#This Row],[PT MARGIN]]/Table1[[#This Row],[G]]</f>
        <v>-7.2457627118644066</v>
      </c>
    </row>
    <row r="288" spans="1:15" x14ac:dyDescent="0.2">
      <c r="A288" s="1">
        <v>138</v>
      </c>
      <c r="B288" s="2" t="s">
        <v>154</v>
      </c>
      <c r="C288" s="2" t="str">
        <f>IF(COUNTIF($X$3:$X$20,B288)&gt;0,$X$2,
 IF(COUNTIF($Y$3:$Y$20,B288)&gt;0,$Y$2,
 IF(COUNTIF($Z$3:$Z$20,B288)&gt;0,$Z$2,
 IF(COUNTIF($AA$3:$AA$20,B288)&gt;0,$AA$2,
 IF(COUNTIF($AB$3:$AB$20,B288)&gt;0,$AB$2,
 IF(COUNTIF($AC$3:$AC$20,B288)&gt;0,$AC$2,
 IF(COUNTIF($AD$3:$AD$20,B288)&gt;0,$AD$2,
 "Not Found")))))))</f>
        <v>Big East</v>
      </c>
      <c r="D288" s="2" t="s">
        <v>10</v>
      </c>
      <c r="E288" s="2" t="s">
        <v>11</v>
      </c>
      <c r="F288" s="2">
        <v>105</v>
      </c>
      <c r="G288" s="4">
        <v>0.33300000000000002</v>
      </c>
      <c r="H288" s="2">
        <v>-448</v>
      </c>
      <c r="I288" s="2">
        <v>99.8</v>
      </c>
      <c r="J288" s="2">
        <v>105.5</v>
      </c>
      <c r="K288" s="4">
        <v>0.51400000000000001</v>
      </c>
      <c r="L288" s="4">
        <v>0.56100000000000005</v>
      </c>
      <c r="M288" s="2">
        <v>297</v>
      </c>
      <c r="N288" s="4">
        <v>0.72099999999999997</v>
      </c>
      <c r="O288" s="8">
        <f>Table1[[#This Row],[PT MARGIN]]/Table1[[#This Row],[G]]</f>
        <v>-4.2666666666666666</v>
      </c>
    </row>
    <row r="289" spans="1:15" hidden="1" x14ac:dyDescent="0.2">
      <c r="A289" s="1">
        <v>2</v>
      </c>
      <c r="B289" s="2" t="s">
        <v>12</v>
      </c>
      <c r="C289" s="2" t="str">
        <f>IF(COUNTIF($X$3:$X$20,B289)&gt;0,$X$2,
 IF(COUNTIF($Y$3:$Y$20,B289)&gt;0,$Y$2,
 IF(COUNTIF($Z$3:$Z$20,B289)&gt;0,$Z$2,
 IF(COUNTIF($AA$3:$AA$20,B289)&gt;0,$AA$2,
 IF(COUNTIF($AB$3:$AB$20,B289)&gt;0,$AB$2,
 IF(COUNTIF($AC$3:$AC$20,B289)&gt;0,$AC$2,
 IF(COUNTIF($AD$3:$AD$20,B289)&gt;0,$AD$2,
 "Not Found")))))))</f>
        <v>Not Found</v>
      </c>
      <c r="D289" s="2" t="s">
        <v>10</v>
      </c>
      <c r="E289" s="2" t="s">
        <v>11</v>
      </c>
      <c r="F289" s="2">
        <v>94</v>
      </c>
      <c r="G289" s="4">
        <v>0.755</v>
      </c>
      <c r="H289" s="2">
        <v>786</v>
      </c>
      <c r="I289" s="2">
        <v>109.3</v>
      </c>
      <c r="J289" s="2">
        <v>96.4</v>
      </c>
      <c r="K289" s="4">
        <v>0.56100000000000005</v>
      </c>
      <c r="L289" s="4">
        <v>0.50800000000000001</v>
      </c>
      <c r="M289" s="2">
        <v>79</v>
      </c>
      <c r="N289" s="4">
        <v>0.71499999999999997</v>
      </c>
      <c r="O289" s="8">
        <f>Table1[[#This Row],[PT MARGIN]]/Table1[[#This Row],[G]]</f>
        <v>8.3617021276595747</v>
      </c>
    </row>
    <row r="290" spans="1:15" hidden="1" x14ac:dyDescent="0.2">
      <c r="A290" s="1">
        <v>82</v>
      </c>
      <c r="B290" s="2" t="s">
        <v>93</v>
      </c>
      <c r="C290" s="2" t="str">
        <f>IF(COUNTIF($X$3:$X$20,B290)&gt;0,$X$2,
 IF(COUNTIF($Y$3:$Y$20,B290)&gt;0,$Y$2,
 IF(COUNTIF($Z$3:$Z$20,B290)&gt;0,$Z$2,
 IF(COUNTIF($AA$3:$AA$20,B290)&gt;0,$AA$2,
 IF(COUNTIF($AB$3:$AB$20,B290)&gt;0,$AB$2,
 IF(COUNTIF($AC$3:$AC$20,B290)&gt;0,$AC$2,
 IF(COUNTIF($AD$3:$AD$20,B290)&gt;0,$AD$2,
 "Not Found")))))))</f>
        <v>Not Found</v>
      </c>
      <c r="D290" s="2" t="s">
        <v>94</v>
      </c>
      <c r="E290" s="2" t="s">
        <v>11</v>
      </c>
      <c r="F290" s="2">
        <v>60</v>
      </c>
      <c r="G290" s="4">
        <v>0.33300000000000002</v>
      </c>
      <c r="H290" s="2">
        <v>-225</v>
      </c>
      <c r="I290" s="2">
        <v>105.5</v>
      </c>
      <c r="J290" s="2">
        <v>111</v>
      </c>
      <c r="K290" s="4">
        <v>0.55200000000000005</v>
      </c>
      <c r="L290" s="4">
        <v>0.58299999999999996</v>
      </c>
      <c r="M290" s="2">
        <v>91</v>
      </c>
      <c r="N290" s="4">
        <v>0.76200000000000001</v>
      </c>
      <c r="O290" s="8">
        <f>Table1[[#This Row],[PT MARGIN]]/Table1[[#This Row],[G]]</f>
        <v>-3.75</v>
      </c>
    </row>
    <row r="291" spans="1:15" x14ac:dyDescent="0.2">
      <c r="A291" s="1">
        <v>214</v>
      </c>
      <c r="B291" s="2" t="s">
        <v>370</v>
      </c>
      <c r="C291" s="2" t="str">
        <f>IF(COUNTIF($X$3:$X$20,B291)&gt;0,$X$2,
 IF(COUNTIF($Y$3:$Y$20,B291)&gt;0,$Y$2,
 IF(COUNTIF($Z$3:$Z$20,B291)&gt;0,$Z$2,
 IF(COUNTIF($AA$3:$AA$20,B291)&gt;0,$AA$2,
 IF(COUNTIF($AB$3:$AB$20,B291)&gt;0,$AB$2,
 IF(COUNTIF($AC$3:$AC$20,B291)&gt;0,$AC$2,
 IF(COUNTIF($AD$3:$AD$20,B291)&gt;0,$AD$2,
 "Not Found")))))))</f>
        <v>ACC</v>
      </c>
      <c r="D291" s="2" t="s">
        <v>10</v>
      </c>
      <c r="E291" s="2" t="s">
        <v>11</v>
      </c>
      <c r="F291" s="2">
        <v>110</v>
      </c>
      <c r="G291" s="4">
        <v>0.29099999999999998</v>
      </c>
      <c r="H291" s="2">
        <v>-711</v>
      </c>
      <c r="I291" s="2">
        <v>96.6</v>
      </c>
      <c r="J291" s="2">
        <v>105.9</v>
      </c>
      <c r="K291" s="4">
        <v>0.52100000000000002</v>
      </c>
      <c r="L291" s="4">
        <v>0.55400000000000005</v>
      </c>
      <c r="M291" s="2">
        <v>171</v>
      </c>
      <c r="N291" s="4">
        <v>0.72099999999999997</v>
      </c>
      <c r="O291" s="8">
        <f>Table1[[#This Row],[PT MARGIN]]/Table1[[#This Row],[G]]</f>
        <v>-6.4636363636363638</v>
      </c>
    </row>
    <row r="292" spans="1:15" hidden="1" x14ac:dyDescent="0.2">
      <c r="A292" s="1">
        <v>53</v>
      </c>
      <c r="B292" s="2" t="s">
        <v>63</v>
      </c>
      <c r="C292" s="2" t="str">
        <f>IF(COUNTIF($X$3:$X$20,B292)&gt;0,$X$2,
 IF(COUNTIF($Y$3:$Y$20,B292)&gt;0,$Y$2,
 IF(COUNTIF($Z$3:$Z$20,B292)&gt;0,$Z$2,
 IF(COUNTIF($AA$3:$AA$20,B292)&gt;0,$AA$2,
 IF(COUNTIF($AB$3:$AB$20,B292)&gt;0,$AB$2,
 IF(COUNTIF($AC$3:$AC$20,B292)&gt;0,$AC$2,
 IF(COUNTIF($AD$3:$AD$20,B292)&gt;0,$AD$2,
 "Not Found")))))))</f>
        <v>Not Found</v>
      </c>
      <c r="D292" s="2" t="s">
        <v>10</v>
      </c>
      <c r="E292" s="2" t="s">
        <v>11</v>
      </c>
      <c r="F292" s="2">
        <v>126</v>
      </c>
      <c r="G292" s="4">
        <v>0.53200000000000003</v>
      </c>
      <c r="H292" s="2">
        <v>-51</v>
      </c>
      <c r="I292" s="2">
        <v>99.2</v>
      </c>
      <c r="J292" s="2">
        <v>99.8</v>
      </c>
      <c r="K292" s="4">
        <v>0.53800000000000003</v>
      </c>
      <c r="L292" s="4">
        <v>0.55600000000000005</v>
      </c>
      <c r="M292" s="2">
        <v>257</v>
      </c>
      <c r="N292" s="4">
        <v>0.70799999999999996</v>
      </c>
      <c r="O292" s="8">
        <f>Table1[[#This Row],[PT MARGIN]]/Table1[[#This Row],[G]]</f>
        <v>-0.40476190476190477</v>
      </c>
    </row>
    <row r="293" spans="1:15" hidden="1" x14ac:dyDescent="0.2">
      <c r="A293" s="1">
        <v>326</v>
      </c>
      <c r="B293" s="2" t="s">
        <v>258</v>
      </c>
      <c r="C293" s="2" t="str">
        <f>IF(COUNTIF($X$3:$X$20,B293)&gt;0,$X$2,
 IF(COUNTIF($Y$3:$Y$20,B293)&gt;0,$Y$2,
 IF(COUNTIF($Z$3:$Z$20,B293)&gt;0,$Z$2,
 IF(COUNTIF($AA$3:$AA$20,B293)&gt;0,$AA$2,
 IF(COUNTIF($AB$3:$AB$20,B293)&gt;0,$AB$2,
 IF(COUNTIF($AC$3:$AC$20,B293)&gt;0,$AC$2,
 IF(COUNTIF($AD$3:$AD$20,B293)&gt;0,$AD$2,
 "Not Found")))))))</f>
        <v>Not Found</v>
      </c>
      <c r="D293" s="2" t="s">
        <v>10</v>
      </c>
      <c r="E293" s="2" t="s">
        <v>11</v>
      </c>
      <c r="F293" s="2">
        <v>148</v>
      </c>
      <c r="G293" s="4">
        <v>0.28399999999999997</v>
      </c>
      <c r="H293" s="2">
        <v>-1421</v>
      </c>
      <c r="I293" s="2">
        <v>97.2</v>
      </c>
      <c r="J293" s="2">
        <v>110.7</v>
      </c>
      <c r="K293" s="4">
        <v>0.51500000000000001</v>
      </c>
      <c r="L293" s="4">
        <v>0.56200000000000006</v>
      </c>
      <c r="M293" s="2">
        <v>113</v>
      </c>
      <c r="N293" s="4">
        <v>0.69399999999999995</v>
      </c>
      <c r="O293" s="8">
        <f>Table1[[#This Row],[PT MARGIN]]/Table1[[#This Row],[G]]</f>
        <v>-9.6013513513513509</v>
      </c>
    </row>
    <row r="294" spans="1:15" hidden="1" x14ac:dyDescent="0.2">
      <c r="A294" s="1">
        <v>191</v>
      </c>
      <c r="B294" s="2" t="s">
        <v>207</v>
      </c>
      <c r="C294" s="2" t="str">
        <f>IF(COUNTIF($X$3:$X$20,B294)&gt;0,$X$2,
 IF(COUNTIF($Y$3:$Y$20,B294)&gt;0,$Y$2,
 IF(COUNTIF($Z$3:$Z$20,B294)&gt;0,$Z$2,
 IF(COUNTIF($AA$3:$AA$20,B294)&gt;0,$AA$2,
 IF(COUNTIF($AB$3:$AB$20,B294)&gt;0,$AB$2,
 IF(COUNTIF($AC$3:$AC$20,B294)&gt;0,$AC$2,
 IF(COUNTIF($AD$3:$AD$20,B294)&gt;0,$AD$2,
 "Not Found")))))))</f>
        <v>Not Found</v>
      </c>
      <c r="D294" s="2" t="s">
        <v>113</v>
      </c>
      <c r="E294" s="2" t="s">
        <v>11</v>
      </c>
      <c r="F294" s="2">
        <v>52</v>
      </c>
      <c r="G294" s="4">
        <v>0.17299999999999999</v>
      </c>
      <c r="H294" s="2">
        <v>-623</v>
      </c>
      <c r="I294" s="2">
        <v>90.5</v>
      </c>
      <c r="J294" s="2">
        <v>107.7</v>
      </c>
      <c r="K294" s="4">
        <v>0.505</v>
      </c>
      <c r="L294" s="4">
        <v>0.55500000000000005</v>
      </c>
      <c r="M294" s="2">
        <v>72</v>
      </c>
      <c r="N294" s="4">
        <v>0.73699999999999999</v>
      </c>
      <c r="O294" s="8">
        <f>Table1[[#This Row],[PT MARGIN]]/Table1[[#This Row],[G]]</f>
        <v>-11.98076923076923</v>
      </c>
    </row>
    <row r="295" spans="1:15" hidden="1" x14ac:dyDescent="0.2">
      <c r="A295" s="1">
        <v>175</v>
      </c>
      <c r="B295" s="2" t="s">
        <v>191</v>
      </c>
      <c r="C295" s="2" t="str">
        <f>IF(COUNTIF($X$3:$X$20,B295)&gt;0,$X$2,
 IF(COUNTIF($Y$3:$Y$20,B295)&gt;0,$Y$2,
 IF(COUNTIF($Z$3:$Z$20,B295)&gt;0,$Z$2,
 IF(COUNTIF($AA$3:$AA$20,B295)&gt;0,$AA$2,
 IF(COUNTIF($AB$3:$AB$20,B295)&gt;0,$AB$2,
 IF(COUNTIF($AC$3:$AC$20,B295)&gt;0,$AC$2,
 IF(COUNTIF($AD$3:$AD$20,B295)&gt;0,$AD$2,
 "Not Found")))))))</f>
        <v>Not Found</v>
      </c>
      <c r="D295" s="2" t="s">
        <v>10</v>
      </c>
      <c r="E295" s="2" t="s">
        <v>11</v>
      </c>
      <c r="F295" s="2">
        <v>150</v>
      </c>
      <c r="G295" s="4">
        <v>0.42</v>
      </c>
      <c r="H295" s="2">
        <v>-582</v>
      </c>
      <c r="I295" s="2">
        <v>97.7</v>
      </c>
      <c r="J295" s="2">
        <v>103.3</v>
      </c>
      <c r="K295" s="4">
        <v>0.51100000000000001</v>
      </c>
      <c r="L295" s="4">
        <v>0.54100000000000004</v>
      </c>
      <c r="M295" s="2">
        <v>51</v>
      </c>
      <c r="N295" s="4">
        <v>0.69199999999999995</v>
      </c>
      <c r="O295" s="8">
        <f>Table1[[#This Row],[PT MARGIN]]/Table1[[#This Row],[G]]</f>
        <v>-3.88</v>
      </c>
    </row>
    <row r="296" spans="1:15" x14ac:dyDescent="0.2">
      <c r="A296" s="1">
        <v>139</v>
      </c>
      <c r="B296" s="2" t="s">
        <v>155</v>
      </c>
      <c r="C296" s="2" t="str">
        <f>IF(COUNTIF($X$3:$X$20,B296)&gt;0,$X$2,
 IF(COUNTIF($Y$3:$Y$20,B296)&gt;0,$Y$2,
 IF(COUNTIF($Z$3:$Z$20,B296)&gt;0,$Z$2,
 IF(COUNTIF($AA$3:$AA$20,B296)&gt;0,$AA$2,
 IF(COUNTIF($AB$3:$AB$20,B296)&gt;0,$AB$2,
 IF(COUNTIF($AC$3:$AC$20,B296)&gt;0,$AC$2,
 IF(COUNTIF($AD$3:$AD$20,B296)&gt;0,$AD$2,
 "Not Found")))))))</f>
        <v>ACC</v>
      </c>
      <c r="D296" s="2" t="s">
        <v>10</v>
      </c>
      <c r="E296" s="2" t="s">
        <v>11</v>
      </c>
      <c r="F296" s="2">
        <v>105</v>
      </c>
      <c r="G296" s="4">
        <v>0.35199999999999998</v>
      </c>
      <c r="H296" s="2">
        <v>-451</v>
      </c>
      <c r="I296" s="2">
        <v>102.6</v>
      </c>
      <c r="J296" s="2">
        <v>108.7</v>
      </c>
      <c r="K296" s="4">
        <v>0.53400000000000003</v>
      </c>
      <c r="L296" s="4">
        <v>0.55200000000000005</v>
      </c>
      <c r="M296" s="2">
        <v>137</v>
      </c>
      <c r="N296" s="4">
        <v>0.73199999999999998</v>
      </c>
      <c r="O296" s="8">
        <f>Table1[[#This Row],[PT MARGIN]]/Table1[[#This Row],[G]]</f>
        <v>-4.2952380952380951</v>
      </c>
    </row>
    <row r="297" spans="1:15" hidden="1" x14ac:dyDescent="0.2">
      <c r="A297" s="1">
        <v>187</v>
      </c>
      <c r="B297" s="2" t="s">
        <v>203</v>
      </c>
      <c r="C297" s="2" t="str">
        <f>IF(COUNTIF($X$3:$X$20,B297)&gt;0,$X$2,
 IF(COUNTIF($Y$3:$Y$20,B297)&gt;0,$Y$2,
 IF(COUNTIF($Z$3:$Z$20,B297)&gt;0,$Z$2,
 IF(COUNTIF($AA$3:$AA$20,B297)&gt;0,$AA$2,
 IF(COUNTIF($AB$3:$AB$20,B297)&gt;0,$AB$2,
 IF(COUNTIF($AC$3:$AC$20,B297)&gt;0,$AC$2,
 IF(COUNTIF($AD$3:$AD$20,B297)&gt;0,$AD$2,
 "Not Found")))))))</f>
        <v>Not Found</v>
      </c>
      <c r="D297" s="2" t="s">
        <v>73</v>
      </c>
      <c r="E297" s="2" t="s">
        <v>11</v>
      </c>
      <c r="F297" s="2">
        <v>71</v>
      </c>
      <c r="G297" s="4">
        <v>0.29599999999999999</v>
      </c>
      <c r="H297" s="2">
        <v>-619</v>
      </c>
      <c r="I297" s="2">
        <v>93</v>
      </c>
      <c r="J297" s="2">
        <v>105.9</v>
      </c>
      <c r="K297" s="4">
        <v>0.50800000000000001</v>
      </c>
      <c r="L297" s="4">
        <v>0.57399999999999995</v>
      </c>
      <c r="M297" s="2">
        <v>142</v>
      </c>
      <c r="N297" s="4">
        <v>0.72399999999999998</v>
      </c>
      <c r="O297" s="8">
        <f>Table1[[#This Row],[PT MARGIN]]/Table1[[#This Row],[G]]</f>
        <v>-8.71830985915493</v>
      </c>
    </row>
    <row r="298" spans="1:15" x14ac:dyDescent="0.2">
      <c r="A298" s="1">
        <v>232</v>
      </c>
      <c r="B298" s="2" t="s">
        <v>352</v>
      </c>
      <c r="C298" s="2" t="str">
        <f>IF(COUNTIF($X$3:$X$20,B298)&gt;0,$X$2,
 IF(COUNTIF($Y$3:$Y$20,B298)&gt;0,$Y$2,
 IF(COUNTIF($Z$3:$Z$20,B298)&gt;0,$Z$2,
 IF(COUNTIF($AA$3:$AA$20,B298)&gt;0,$AA$2,
 IF(COUNTIF($AB$3:$AB$20,B298)&gt;0,$AB$2,
 IF(COUNTIF($AC$3:$AC$20,B298)&gt;0,$AC$2,
 IF(COUNTIF($AD$3:$AD$20,B298)&gt;0,$AD$2,
 "Not Found")))))))</f>
        <v>Big 12</v>
      </c>
      <c r="D298" s="2" t="s">
        <v>10</v>
      </c>
      <c r="E298" s="2" t="s">
        <v>11</v>
      </c>
      <c r="F298" s="2">
        <v>103</v>
      </c>
      <c r="G298" s="4">
        <v>0.28199999999999997</v>
      </c>
      <c r="H298" s="2">
        <v>-794</v>
      </c>
      <c r="I298" s="2">
        <v>97.5</v>
      </c>
      <c r="J298" s="2">
        <v>108.5</v>
      </c>
      <c r="K298" s="4">
        <v>0.51600000000000001</v>
      </c>
      <c r="L298" s="4">
        <v>0.56499999999999995</v>
      </c>
      <c r="M298" s="2">
        <v>261</v>
      </c>
      <c r="N298" s="4">
        <v>0.73499999999999999</v>
      </c>
      <c r="O298" s="8">
        <f>Table1[[#This Row],[PT MARGIN]]/Table1[[#This Row],[G]]</f>
        <v>-7.70873786407767</v>
      </c>
    </row>
    <row r="299" spans="1:15" hidden="1" x14ac:dyDescent="0.2">
      <c r="A299" s="1">
        <v>121</v>
      </c>
      <c r="B299" s="2" t="s">
        <v>137</v>
      </c>
      <c r="C299" s="2" t="str">
        <f>IF(COUNTIF($X$3:$X$20,B299)&gt;0,$X$2,
 IF(COUNTIF($Y$3:$Y$20,B299)&gt;0,$Y$2,
 IF(COUNTIF($Z$3:$Z$20,B299)&gt;0,$Z$2,
 IF(COUNTIF($AA$3:$AA$20,B299)&gt;0,$AA$2,
 IF(COUNTIF($AB$3:$AB$20,B299)&gt;0,$AB$2,
 IF(COUNTIF($AC$3:$AC$20,B299)&gt;0,$AC$2,
 IF(COUNTIF($AD$3:$AD$20,B299)&gt;0,$AD$2,
 "Not Found")))))))</f>
        <v>Not Found</v>
      </c>
      <c r="D299" s="2" t="s">
        <v>10</v>
      </c>
      <c r="E299" s="2" t="s">
        <v>11</v>
      </c>
      <c r="F299" s="2">
        <v>116</v>
      </c>
      <c r="G299" s="4">
        <v>0.42199999999999999</v>
      </c>
      <c r="H299" s="2">
        <v>-379</v>
      </c>
      <c r="I299" s="2">
        <v>97.5</v>
      </c>
      <c r="J299" s="2">
        <v>102.2</v>
      </c>
      <c r="K299" s="4">
        <v>0.50600000000000001</v>
      </c>
      <c r="L299" s="4">
        <v>0.52500000000000002</v>
      </c>
      <c r="M299" s="2">
        <v>213</v>
      </c>
      <c r="N299" s="4">
        <v>0.70899999999999996</v>
      </c>
      <c r="O299" s="8">
        <f>Table1[[#This Row],[PT MARGIN]]/Table1[[#This Row],[G]]</f>
        <v>-3.2672413793103448</v>
      </c>
    </row>
    <row r="300" spans="1:15" x14ac:dyDescent="0.2">
      <c r="A300" s="1">
        <v>36</v>
      </c>
      <c r="B300" s="2" t="s">
        <v>46</v>
      </c>
      <c r="C300" s="2" t="str">
        <f>IF(COUNTIF($X$3:$X$20,B300)&gt;0,$X$2,
 IF(COUNTIF($Y$3:$Y$20,B300)&gt;0,$Y$2,
 IF(COUNTIF($Z$3:$Z$20,B300)&gt;0,$Z$2,
 IF(COUNTIF($AA$3:$AA$20,B300)&gt;0,$AA$2,
 IF(COUNTIF($AB$3:$AB$20,B300)&gt;0,$AB$2,
 IF(COUNTIF($AC$3:$AC$20,B300)&gt;0,$AC$2,
 IF(COUNTIF($AD$3:$AD$20,B300)&gt;0,$AD$2,
 "Not Found")))))))</f>
        <v>SEC</v>
      </c>
      <c r="D300" s="2" t="s">
        <v>10</v>
      </c>
      <c r="E300" s="2" t="s">
        <v>11</v>
      </c>
      <c r="F300" s="2">
        <v>107</v>
      </c>
      <c r="G300" s="4">
        <v>0.48599999999999999</v>
      </c>
      <c r="H300" s="2">
        <v>52</v>
      </c>
      <c r="I300" s="2">
        <v>102.9</v>
      </c>
      <c r="J300" s="2">
        <v>102.2</v>
      </c>
      <c r="K300" s="4">
        <v>0.53400000000000003</v>
      </c>
      <c r="L300" s="4">
        <v>0.52900000000000003</v>
      </c>
      <c r="M300" s="2">
        <v>141</v>
      </c>
      <c r="N300" s="4">
        <v>0.71299999999999997</v>
      </c>
      <c r="O300" s="8">
        <f>Table1[[#This Row],[PT MARGIN]]/Table1[[#This Row],[G]]</f>
        <v>0.48598130841121495</v>
      </c>
    </row>
    <row r="301" spans="1:15" hidden="1" x14ac:dyDescent="0.2">
      <c r="A301" s="1">
        <v>242</v>
      </c>
      <c r="B301" s="2" t="s">
        <v>342</v>
      </c>
      <c r="C301" s="2" t="str">
        <f>IF(COUNTIF($X$3:$X$20,B301)&gt;0,$X$2,
 IF(COUNTIF($Y$3:$Y$20,B301)&gt;0,$Y$2,
 IF(COUNTIF($Z$3:$Z$20,B301)&gt;0,$Z$2,
 IF(COUNTIF($AA$3:$AA$20,B301)&gt;0,$AA$2,
 IF(COUNTIF($AB$3:$AB$20,B301)&gt;0,$AB$2,
 IF(COUNTIF($AC$3:$AC$20,B301)&gt;0,$AC$2,
 IF(COUNTIF($AD$3:$AD$20,B301)&gt;0,$AD$2,
 "Not Found")))))))</f>
        <v>Not Found</v>
      </c>
      <c r="D301" s="2" t="s">
        <v>10</v>
      </c>
      <c r="E301" s="2" t="s">
        <v>11</v>
      </c>
      <c r="F301" s="2">
        <v>144</v>
      </c>
      <c r="G301" s="4">
        <v>0.31900000000000001</v>
      </c>
      <c r="H301" s="2">
        <v>-836</v>
      </c>
      <c r="I301" s="2">
        <v>95.3</v>
      </c>
      <c r="J301" s="2">
        <v>103.5</v>
      </c>
      <c r="K301" s="4">
        <v>0.51</v>
      </c>
      <c r="L301" s="4">
        <v>0.55000000000000004</v>
      </c>
      <c r="M301" s="2">
        <v>598</v>
      </c>
      <c r="N301" s="4">
        <v>0.71499999999999997</v>
      </c>
      <c r="O301" s="8">
        <f>Table1[[#This Row],[PT MARGIN]]/Table1[[#This Row],[G]]</f>
        <v>-5.8055555555555554</v>
      </c>
    </row>
    <row r="302" spans="1:15" hidden="1" x14ac:dyDescent="0.2">
      <c r="A302" s="1">
        <v>340</v>
      </c>
      <c r="B302" s="2" t="s">
        <v>244</v>
      </c>
      <c r="C302" s="2" t="str">
        <f>IF(COUNTIF($X$3:$X$20,B302)&gt;0,$X$2,
 IF(COUNTIF($Y$3:$Y$20,B302)&gt;0,$Y$2,
 IF(COUNTIF($Z$3:$Z$20,B302)&gt;0,$Z$2,
 IF(COUNTIF($AA$3:$AA$20,B302)&gt;0,$AA$2,
 IF(COUNTIF($AB$3:$AB$20,B302)&gt;0,$AB$2,
 IF(COUNTIF($AC$3:$AC$20,B302)&gt;0,$AC$2,
 IF(COUNTIF($AD$3:$AD$20,B302)&gt;0,$AD$2,
 "Not Found")))))))</f>
        <v>Not Found</v>
      </c>
      <c r="D302" s="2" t="s">
        <v>10</v>
      </c>
      <c r="E302" s="2" t="s">
        <v>11</v>
      </c>
      <c r="F302" s="2">
        <v>153</v>
      </c>
      <c r="G302" s="4">
        <v>0.23499999999999999</v>
      </c>
      <c r="H302" s="2">
        <v>-1564</v>
      </c>
      <c r="I302" s="2">
        <v>93.5</v>
      </c>
      <c r="J302" s="2">
        <v>107.9</v>
      </c>
      <c r="K302" s="4">
        <v>0.50700000000000001</v>
      </c>
      <c r="L302" s="4">
        <v>0.55900000000000005</v>
      </c>
      <c r="M302" s="2">
        <v>170</v>
      </c>
      <c r="N302" s="4">
        <v>0.72</v>
      </c>
      <c r="O302" s="8">
        <f>Table1[[#This Row],[PT MARGIN]]/Table1[[#This Row],[G]]</f>
        <v>-10.222222222222221</v>
      </c>
    </row>
    <row r="303" spans="1:15" x14ac:dyDescent="0.2">
      <c r="A303" s="1">
        <v>104</v>
      </c>
      <c r="B303" s="2" t="s">
        <v>118</v>
      </c>
      <c r="C303" s="2" t="str">
        <f>IF(COUNTIF($X$3:$X$20,B303)&gt;0,$X$2,
 IF(COUNTIF($Y$3:$Y$20,B303)&gt;0,$Y$2,
 IF(COUNTIF($Z$3:$Z$20,B303)&gt;0,$Z$2,
 IF(COUNTIF($AA$3:$AA$20,B303)&gt;0,$AA$2,
 IF(COUNTIF($AB$3:$AB$20,B303)&gt;0,$AB$2,
 IF(COUNTIF($AC$3:$AC$20,B303)&gt;0,$AC$2,
 IF(COUNTIF($AD$3:$AD$20,B303)&gt;0,$AD$2,
 "Not Found")))))))</f>
        <v>SEC</v>
      </c>
      <c r="D303" s="2" t="s">
        <v>10</v>
      </c>
      <c r="E303" s="2" t="s">
        <v>11</v>
      </c>
      <c r="F303" s="2">
        <v>101</v>
      </c>
      <c r="G303" s="4">
        <v>0.376</v>
      </c>
      <c r="H303" s="2">
        <v>-336</v>
      </c>
      <c r="I303" s="2">
        <v>99</v>
      </c>
      <c r="J303" s="2">
        <v>103.8</v>
      </c>
      <c r="K303" s="4">
        <v>0.52600000000000002</v>
      </c>
      <c r="L303" s="4">
        <v>0.53700000000000003</v>
      </c>
      <c r="M303" s="2">
        <v>306</v>
      </c>
      <c r="N303" s="4">
        <v>0.71599999999999997</v>
      </c>
      <c r="O303" s="8">
        <f>Table1[[#This Row],[PT MARGIN]]/Table1[[#This Row],[G]]</f>
        <v>-3.3267326732673266</v>
      </c>
    </row>
    <row r="304" spans="1:15" x14ac:dyDescent="0.2">
      <c r="A304" s="1">
        <v>73</v>
      </c>
      <c r="B304" s="2" t="s">
        <v>84</v>
      </c>
      <c r="C304" s="2" t="str">
        <f>IF(COUNTIF($X$3:$X$20,B304)&gt;0,$X$2,
 IF(COUNTIF($Y$3:$Y$20,B304)&gt;0,$Y$2,
 IF(COUNTIF($Z$3:$Z$20,B304)&gt;0,$Z$2,
 IF(COUNTIF($AA$3:$AA$20,B304)&gt;0,$AA$2,
 IF(COUNTIF($AB$3:$AB$20,B304)&gt;0,$AB$2,
 IF(COUNTIF($AC$3:$AC$20,B304)&gt;0,$AC$2,
 IF(COUNTIF($AD$3:$AD$20,B304)&gt;0,$AD$2,
 "Not Found")))))))</f>
        <v>SEC</v>
      </c>
      <c r="D304" s="2" t="s">
        <v>10</v>
      </c>
      <c r="E304" s="2" t="s">
        <v>11</v>
      </c>
      <c r="F304" s="2">
        <v>99</v>
      </c>
      <c r="G304" s="4">
        <v>0.45500000000000002</v>
      </c>
      <c r="H304" s="2">
        <v>-173</v>
      </c>
      <c r="I304" s="2">
        <v>100.5</v>
      </c>
      <c r="J304" s="2">
        <v>103.1</v>
      </c>
      <c r="K304" s="4">
        <v>0.51900000000000002</v>
      </c>
      <c r="L304" s="4">
        <v>0.53900000000000003</v>
      </c>
      <c r="M304" s="2">
        <v>54</v>
      </c>
      <c r="N304" s="4">
        <v>0.73399999999999999</v>
      </c>
      <c r="O304" s="8">
        <f>Table1[[#This Row],[PT MARGIN]]/Table1[[#This Row],[G]]</f>
        <v>-1.7474747474747474</v>
      </c>
    </row>
    <row r="305" spans="1:15" hidden="1" x14ac:dyDescent="0.2">
      <c r="A305" s="1">
        <v>176</v>
      </c>
      <c r="B305" s="2" t="s">
        <v>192</v>
      </c>
      <c r="C305" s="2" t="str">
        <f>IF(COUNTIF($X$3:$X$20,B305)&gt;0,$X$2,
 IF(COUNTIF($Y$3:$Y$20,B305)&gt;0,$Y$2,
 IF(COUNTIF($Z$3:$Z$20,B305)&gt;0,$Z$2,
 IF(COUNTIF($AA$3:$AA$20,B305)&gt;0,$AA$2,
 IF(COUNTIF($AB$3:$AB$20,B305)&gt;0,$AB$2,
 IF(COUNTIF($AC$3:$AC$20,B305)&gt;0,$AC$2,
 IF(COUNTIF($AD$3:$AD$20,B305)&gt;0,$AD$2,
 "Not Found")))))))</f>
        <v>Not Found</v>
      </c>
      <c r="D305" s="2" t="s">
        <v>113</v>
      </c>
      <c r="E305" s="2" t="s">
        <v>11</v>
      </c>
      <c r="F305" s="2">
        <v>52</v>
      </c>
      <c r="G305" s="4">
        <v>0.23100000000000001</v>
      </c>
      <c r="H305" s="2">
        <v>-584</v>
      </c>
      <c r="I305" s="2">
        <v>93.6</v>
      </c>
      <c r="J305" s="2">
        <v>109.8</v>
      </c>
      <c r="K305" s="4">
        <v>0.50900000000000001</v>
      </c>
      <c r="L305" s="4">
        <v>0.56899999999999995</v>
      </c>
      <c r="M305" s="2">
        <v>135</v>
      </c>
      <c r="N305" s="4">
        <v>0.71899999999999997</v>
      </c>
      <c r="O305" s="8">
        <f>Table1[[#This Row],[PT MARGIN]]/Table1[[#This Row],[G]]</f>
        <v>-11.23076923076923</v>
      </c>
    </row>
    <row r="306" spans="1:15" hidden="1" x14ac:dyDescent="0.2">
      <c r="A306" s="1">
        <v>185</v>
      </c>
      <c r="B306" s="2" t="s">
        <v>201</v>
      </c>
      <c r="C306" s="2" t="str">
        <f>IF(COUNTIF($X$3:$X$20,B306)&gt;0,$X$2,
 IF(COUNTIF($Y$3:$Y$20,B306)&gt;0,$Y$2,
 IF(COUNTIF($Z$3:$Z$20,B306)&gt;0,$Z$2,
 IF(COUNTIF($AA$3:$AA$20,B306)&gt;0,$AA$2,
 IF(COUNTIF($AB$3:$AB$20,B306)&gt;0,$AB$2,
 IF(COUNTIF($AC$3:$AC$20,B306)&gt;0,$AC$2,
 IF(COUNTIF($AD$3:$AD$20,B306)&gt;0,$AD$2,
 "Not Found")))))))</f>
        <v>Not Found</v>
      </c>
      <c r="D306" s="2" t="s">
        <v>10</v>
      </c>
      <c r="E306" s="2" t="s">
        <v>11</v>
      </c>
      <c r="F306" s="2">
        <v>142</v>
      </c>
      <c r="G306" s="4">
        <v>0.39400000000000002</v>
      </c>
      <c r="H306" s="2">
        <v>-605</v>
      </c>
      <c r="I306" s="2">
        <v>95.9</v>
      </c>
      <c r="J306" s="2">
        <v>101.9</v>
      </c>
      <c r="K306" s="4">
        <v>0.51700000000000002</v>
      </c>
      <c r="L306" s="4">
        <v>0.55000000000000004</v>
      </c>
      <c r="M306" s="2">
        <v>354</v>
      </c>
      <c r="N306" s="4">
        <v>0.71199999999999997</v>
      </c>
      <c r="O306" s="8">
        <f>Table1[[#This Row],[PT MARGIN]]/Table1[[#This Row],[G]]</f>
        <v>-4.26056338028169</v>
      </c>
    </row>
    <row r="307" spans="1:15" hidden="1" x14ac:dyDescent="0.2">
      <c r="A307" s="1">
        <v>302</v>
      </c>
      <c r="B307" s="2" t="s">
        <v>282</v>
      </c>
      <c r="C307" s="2" t="str">
        <f>IF(COUNTIF($X$3:$X$20,B307)&gt;0,$X$2,
 IF(COUNTIF($Y$3:$Y$20,B307)&gt;0,$Y$2,
 IF(COUNTIF($Z$3:$Z$20,B307)&gt;0,$Z$2,
 IF(COUNTIF($AA$3:$AA$20,B307)&gt;0,$AA$2,
 IF(COUNTIF($AB$3:$AB$20,B307)&gt;0,$AB$2,
 IF(COUNTIF($AC$3:$AC$20,B307)&gt;0,$AC$2,
 IF(COUNTIF($AD$3:$AD$20,B307)&gt;0,$AD$2,
 "Not Found")))))))</f>
        <v>Not Found</v>
      </c>
      <c r="D307" s="2" t="s">
        <v>10</v>
      </c>
      <c r="E307" s="2" t="s">
        <v>11</v>
      </c>
      <c r="F307" s="2">
        <v>182</v>
      </c>
      <c r="G307" s="4">
        <v>0.36299999999999999</v>
      </c>
      <c r="H307" s="2">
        <v>-1194</v>
      </c>
      <c r="I307" s="2">
        <v>95.3</v>
      </c>
      <c r="J307" s="2">
        <v>104.3</v>
      </c>
      <c r="K307" s="4">
        <v>0.505</v>
      </c>
      <c r="L307" s="4">
        <v>0.54300000000000004</v>
      </c>
      <c r="M307" s="2">
        <v>-110</v>
      </c>
      <c r="N307" s="4">
        <v>0.69499999999999995</v>
      </c>
      <c r="O307" s="8">
        <f>Table1[[#This Row],[PT MARGIN]]/Table1[[#This Row],[G]]</f>
        <v>-6.5604395604395602</v>
      </c>
    </row>
    <row r="308" spans="1:15" hidden="1" x14ac:dyDescent="0.2">
      <c r="A308" s="1">
        <v>110</v>
      </c>
      <c r="B308" s="2" t="s">
        <v>125</v>
      </c>
      <c r="C308" s="2" t="str">
        <f>IF(COUNTIF($X$3:$X$20,B308)&gt;0,$X$2,
 IF(COUNTIF($Y$3:$Y$20,B308)&gt;0,$Y$2,
 IF(COUNTIF($Z$3:$Z$20,B308)&gt;0,$Z$2,
 IF(COUNTIF($AA$3:$AA$20,B308)&gt;0,$AA$2,
 IF(COUNTIF($AB$3:$AB$20,B308)&gt;0,$AB$2,
 IF(COUNTIF($AC$3:$AC$20,B308)&gt;0,$AC$2,
 IF(COUNTIF($AD$3:$AD$20,B308)&gt;0,$AD$2,
 "Not Found")))))))</f>
        <v>Not Found</v>
      </c>
      <c r="D308" s="2" t="s">
        <v>10</v>
      </c>
      <c r="E308" s="2" t="s">
        <v>11</v>
      </c>
      <c r="F308" s="2">
        <v>141</v>
      </c>
      <c r="G308" s="4">
        <v>0.44700000000000001</v>
      </c>
      <c r="H308" s="2">
        <v>-352</v>
      </c>
      <c r="I308" s="2">
        <v>98.4</v>
      </c>
      <c r="J308" s="2">
        <v>102.1</v>
      </c>
      <c r="K308" s="4">
        <v>0.51800000000000002</v>
      </c>
      <c r="L308" s="4">
        <v>0.54700000000000004</v>
      </c>
      <c r="M308" s="2">
        <v>171</v>
      </c>
      <c r="N308" s="4">
        <v>0.72199999999999998</v>
      </c>
      <c r="O308" s="8">
        <f>Table1[[#This Row],[PT MARGIN]]/Table1[[#This Row],[G]]</f>
        <v>-2.4964539007092199</v>
      </c>
    </row>
    <row r="309" spans="1:15" x14ac:dyDescent="0.2">
      <c r="A309" s="1">
        <v>64</v>
      </c>
      <c r="B309" s="2" t="s">
        <v>75</v>
      </c>
      <c r="C309" s="2" t="str">
        <f>IF(COUNTIF($X$3:$X$20,B309)&gt;0,$X$2,
 IF(COUNTIF($Y$3:$Y$20,B309)&gt;0,$Y$2,
 IF(COUNTIF($Z$3:$Z$20,B309)&gt;0,$Z$2,
 IF(COUNTIF($AA$3:$AA$20,B309)&gt;0,$AA$2,
 IF(COUNTIF($AB$3:$AB$20,B309)&gt;0,$AB$2,
 IF(COUNTIF($AC$3:$AC$20,B309)&gt;0,$AC$2,
 IF(COUNTIF($AD$3:$AD$20,B309)&gt;0,$AD$2,
 "Not Found")))))))</f>
        <v>Big 12</v>
      </c>
      <c r="D309" s="2" t="s">
        <v>10</v>
      </c>
      <c r="E309" s="2" t="s">
        <v>11</v>
      </c>
      <c r="F309" s="2">
        <v>98</v>
      </c>
      <c r="G309" s="4">
        <v>0.40799999999999997</v>
      </c>
      <c r="H309" s="2">
        <v>-94</v>
      </c>
      <c r="I309" s="2">
        <v>101.3</v>
      </c>
      <c r="J309" s="2">
        <v>102.7</v>
      </c>
      <c r="K309" s="4">
        <v>0.53500000000000003</v>
      </c>
      <c r="L309" s="4">
        <v>0.53500000000000003</v>
      </c>
      <c r="M309" s="2">
        <v>162</v>
      </c>
      <c r="N309" s="4">
        <v>0.70499999999999996</v>
      </c>
      <c r="O309" s="8">
        <f>Table1[[#This Row],[PT MARGIN]]/Table1[[#This Row],[G]]</f>
        <v>-0.95918367346938771</v>
      </c>
    </row>
    <row r="310" spans="1:15" hidden="1" x14ac:dyDescent="0.2">
      <c r="A310" s="1">
        <v>336</v>
      </c>
      <c r="B310" s="2" t="s">
        <v>248</v>
      </c>
      <c r="C310" s="2" t="str">
        <f>IF(COUNTIF($X$3:$X$20,B310)&gt;0,$X$2,
 IF(COUNTIF($Y$3:$Y$20,B310)&gt;0,$Y$2,
 IF(COUNTIF($Z$3:$Z$20,B310)&gt;0,$Z$2,
 IF(COUNTIF($AA$3:$AA$20,B310)&gt;0,$AA$2,
 IF(COUNTIF($AB$3:$AB$20,B310)&gt;0,$AB$2,
 IF(COUNTIF($AC$3:$AC$20,B310)&gt;0,$AC$2,
 IF(COUNTIF($AD$3:$AD$20,B310)&gt;0,$AD$2,
 "Not Found")))))))</f>
        <v>Not Found</v>
      </c>
      <c r="D310" s="2" t="s">
        <v>10</v>
      </c>
      <c r="E310" s="2" t="s">
        <v>11</v>
      </c>
      <c r="F310" s="2">
        <v>136</v>
      </c>
      <c r="G310" s="4">
        <v>0.21299999999999999</v>
      </c>
      <c r="H310" s="2">
        <v>-1521</v>
      </c>
      <c r="I310" s="2">
        <v>94.1</v>
      </c>
      <c r="J310" s="2">
        <v>109.2</v>
      </c>
      <c r="K310" s="4">
        <v>0.503</v>
      </c>
      <c r="L310" s="4">
        <v>0.57099999999999995</v>
      </c>
      <c r="M310" s="2">
        <v>284</v>
      </c>
      <c r="N310" s="4">
        <v>0.70899999999999996</v>
      </c>
      <c r="O310" s="8">
        <f>Table1[[#This Row],[PT MARGIN]]/Table1[[#This Row],[G]]</f>
        <v>-11.183823529411764</v>
      </c>
    </row>
    <row r="311" spans="1:15" hidden="1" x14ac:dyDescent="0.2">
      <c r="A311" s="1">
        <v>349</v>
      </c>
      <c r="B311" s="2" t="s">
        <v>235</v>
      </c>
      <c r="C311" s="2" t="str">
        <f>IF(COUNTIF($X$3:$X$20,B311)&gt;0,$X$2,
 IF(COUNTIF($Y$3:$Y$20,B311)&gt;0,$Y$2,
 IF(COUNTIF($Z$3:$Z$20,B311)&gt;0,$Z$2,
 IF(COUNTIF($AA$3:$AA$20,B311)&gt;0,$AA$2,
 IF(COUNTIF($AB$3:$AB$20,B311)&gt;0,$AB$2,
 IF(COUNTIF($AC$3:$AC$20,B311)&gt;0,$AC$2,
 IF(COUNTIF($AD$3:$AD$20,B311)&gt;0,$AD$2,
 "Not Found")))))))</f>
        <v>Not Found</v>
      </c>
      <c r="D311" s="2" t="s">
        <v>10</v>
      </c>
      <c r="E311" s="2" t="s">
        <v>11</v>
      </c>
      <c r="F311" s="2">
        <v>140</v>
      </c>
      <c r="G311" s="4">
        <v>0.2</v>
      </c>
      <c r="H311" s="2">
        <v>-1735</v>
      </c>
      <c r="I311" s="2">
        <v>97.7</v>
      </c>
      <c r="J311" s="2">
        <v>113.9</v>
      </c>
      <c r="K311" s="4">
        <v>0.52500000000000002</v>
      </c>
      <c r="L311" s="4">
        <v>0.58599999999999997</v>
      </c>
      <c r="M311" s="2">
        <v>222</v>
      </c>
      <c r="N311" s="4">
        <v>0.72</v>
      </c>
      <c r="O311" s="8">
        <f>Table1[[#This Row],[PT MARGIN]]/Table1[[#This Row],[G]]</f>
        <v>-12.392857142857142</v>
      </c>
    </row>
    <row r="312" spans="1:15" hidden="1" x14ac:dyDescent="0.2">
      <c r="A312" s="1">
        <v>19</v>
      </c>
      <c r="B312" s="2" t="s">
        <v>29</v>
      </c>
      <c r="C312" s="2" t="str">
        <f>IF(COUNTIF($X$3:$X$20,B312)&gt;0,$X$2,
 IF(COUNTIF($Y$3:$Y$20,B312)&gt;0,$Y$2,
 IF(COUNTIF($Z$3:$Z$20,B312)&gt;0,$Z$2,
 IF(COUNTIF($AA$3:$AA$20,B312)&gt;0,$AA$2,
 IF(COUNTIF($AB$3:$AB$20,B312)&gt;0,$AB$2,
 IF(COUNTIF($AC$3:$AC$20,B312)&gt;0,$AC$2,
 IF(COUNTIF($AD$3:$AD$20,B312)&gt;0,$AD$2,
 "Not Found")))))))</f>
        <v>Not Found</v>
      </c>
      <c r="D312" s="2" t="s">
        <v>10</v>
      </c>
      <c r="E312" s="2" t="s">
        <v>11</v>
      </c>
      <c r="F312" s="2">
        <v>136</v>
      </c>
      <c r="G312" s="4">
        <v>0.54400000000000004</v>
      </c>
      <c r="H312" s="2">
        <v>224</v>
      </c>
      <c r="I312" s="2">
        <v>109</v>
      </c>
      <c r="J312" s="2">
        <v>106.7</v>
      </c>
      <c r="K312" s="4">
        <v>0.56699999999999995</v>
      </c>
      <c r="L312" s="4">
        <v>0.54800000000000004</v>
      </c>
      <c r="M312" s="2">
        <v>-136</v>
      </c>
      <c r="N312" s="4">
        <v>0.72</v>
      </c>
      <c r="O312" s="8">
        <f>Table1[[#This Row],[PT MARGIN]]/Table1[[#This Row],[G]]</f>
        <v>1.6470588235294117</v>
      </c>
    </row>
    <row r="313" spans="1:15" hidden="1" x14ac:dyDescent="0.2">
      <c r="A313" s="1">
        <v>29</v>
      </c>
      <c r="B313" s="2" t="s">
        <v>39</v>
      </c>
      <c r="C313" s="2" t="str">
        <f>IF(COUNTIF($X$3:$X$20,B313)&gt;0,$X$2,
 IF(COUNTIF($Y$3:$Y$20,B313)&gt;0,$Y$2,
 IF(COUNTIF($Z$3:$Z$20,B313)&gt;0,$Z$2,
 IF(COUNTIF($AA$3:$AA$20,B313)&gt;0,$AA$2,
 IF(COUNTIF($AB$3:$AB$20,B313)&gt;0,$AB$2,
 IF(COUNTIF($AC$3:$AC$20,B313)&gt;0,$AC$2,
 IF(COUNTIF($AD$3:$AD$20,B313)&gt;0,$AD$2,
 "Not Found")))))))</f>
        <v>Not Found</v>
      </c>
      <c r="D313" s="2" t="s">
        <v>10</v>
      </c>
      <c r="E313" s="2" t="s">
        <v>11</v>
      </c>
      <c r="F313" s="2">
        <v>126</v>
      </c>
      <c r="G313" s="4">
        <v>0.5</v>
      </c>
      <c r="H313" s="2">
        <v>120</v>
      </c>
      <c r="I313" s="2">
        <v>103.6</v>
      </c>
      <c r="J313" s="2">
        <v>102.2</v>
      </c>
      <c r="K313" s="4">
        <v>0.52300000000000002</v>
      </c>
      <c r="L313" s="4">
        <v>0.53800000000000003</v>
      </c>
      <c r="M313" s="2">
        <v>199</v>
      </c>
      <c r="N313" s="4">
        <v>0.72799999999999998</v>
      </c>
      <c r="O313" s="8">
        <f>Table1[[#This Row],[PT MARGIN]]/Table1[[#This Row],[G]]</f>
        <v>0.95238095238095233</v>
      </c>
    </row>
    <row r="314" spans="1:15" hidden="1" x14ac:dyDescent="0.2">
      <c r="A314" s="1">
        <v>209</v>
      </c>
      <c r="B314" s="2" t="s">
        <v>375</v>
      </c>
      <c r="C314" s="2" t="str">
        <f>IF(COUNTIF($X$3:$X$20,B314)&gt;0,$X$2,
 IF(COUNTIF($Y$3:$Y$20,B314)&gt;0,$Y$2,
 IF(COUNTIF($Z$3:$Z$20,B314)&gt;0,$Z$2,
 IF(COUNTIF($AA$3:$AA$20,B314)&gt;0,$AA$2,
 IF(COUNTIF($AB$3:$AB$20,B314)&gt;0,$AB$2,
 IF(COUNTIF($AC$3:$AC$20,B314)&gt;0,$AC$2,
 IF(COUNTIF($AD$3:$AD$20,B314)&gt;0,$AD$2,
 "Not Found")))))))</f>
        <v>Not Found</v>
      </c>
      <c r="D314" s="2" t="s">
        <v>10</v>
      </c>
      <c r="E314" s="2" t="s">
        <v>11</v>
      </c>
      <c r="F314" s="2">
        <v>144</v>
      </c>
      <c r="G314" s="4">
        <v>0.35399999999999998</v>
      </c>
      <c r="H314" s="2">
        <v>-703</v>
      </c>
      <c r="I314" s="2">
        <v>96.1</v>
      </c>
      <c r="J314" s="2">
        <v>103</v>
      </c>
      <c r="K314" s="4">
        <v>0.51</v>
      </c>
      <c r="L314" s="4">
        <v>0.54400000000000004</v>
      </c>
      <c r="M314" s="2">
        <v>155</v>
      </c>
      <c r="N314" s="4">
        <v>0.70699999999999996</v>
      </c>
      <c r="O314" s="8">
        <f>Table1[[#This Row],[PT MARGIN]]/Table1[[#This Row],[G]]</f>
        <v>-4.8819444444444446</v>
      </c>
    </row>
    <row r="315" spans="1:15" hidden="1" x14ac:dyDescent="0.2">
      <c r="A315" s="1">
        <v>224</v>
      </c>
      <c r="B315" s="2" t="s">
        <v>360</v>
      </c>
      <c r="C315" s="2" t="str">
        <f>IF(COUNTIF($X$3:$X$20,B315)&gt;0,$X$2,
 IF(COUNTIF($Y$3:$Y$20,B315)&gt;0,$Y$2,
 IF(COUNTIF($Z$3:$Z$20,B315)&gt;0,$Z$2,
 IF(COUNTIF($AA$3:$AA$20,B315)&gt;0,$AA$2,
 IF(COUNTIF($AB$3:$AB$20,B315)&gt;0,$AB$2,
 IF(COUNTIF($AC$3:$AC$20,B315)&gt;0,$AC$2,
 IF(COUNTIF($AD$3:$AD$20,B315)&gt;0,$AD$2,
 "Not Found")))))))</f>
        <v>Not Found</v>
      </c>
      <c r="D315" s="2" t="s">
        <v>10</v>
      </c>
      <c r="E315" s="2" t="s">
        <v>11</v>
      </c>
      <c r="F315" s="2">
        <v>105</v>
      </c>
      <c r="G315" s="4">
        <v>0.25700000000000001</v>
      </c>
      <c r="H315" s="2">
        <v>-752</v>
      </c>
      <c r="I315" s="2">
        <v>95.8</v>
      </c>
      <c r="J315" s="2">
        <v>105.8</v>
      </c>
      <c r="K315" s="4">
        <v>0.51500000000000001</v>
      </c>
      <c r="L315" s="4">
        <v>0.54800000000000004</v>
      </c>
      <c r="M315" s="2">
        <v>97</v>
      </c>
      <c r="N315" s="4">
        <v>0.7</v>
      </c>
      <c r="O315" s="8">
        <f>Table1[[#This Row],[PT MARGIN]]/Table1[[#This Row],[G]]</f>
        <v>-7.1619047619047622</v>
      </c>
    </row>
    <row r="316" spans="1:15" hidden="1" x14ac:dyDescent="0.2">
      <c r="A316" s="1">
        <v>257</v>
      </c>
      <c r="B316" s="2" t="s">
        <v>327</v>
      </c>
      <c r="C316" s="2" t="str">
        <f>IF(COUNTIF($X$3:$X$20,B316)&gt;0,$X$2,
 IF(COUNTIF($Y$3:$Y$20,B316)&gt;0,$Y$2,
 IF(COUNTIF($Z$3:$Z$20,B316)&gt;0,$Z$2,
 IF(COUNTIF($AA$3:$AA$20,B316)&gt;0,$AA$2,
 IF(COUNTIF($AB$3:$AB$20,B316)&gt;0,$AB$2,
 IF(COUNTIF($AC$3:$AC$20,B316)&gt;0,$AC$2,
 IF(COUNTIF($AD$3:$AD$20,B316)&gt;0,$AD$2,
 "Not Found")))))))</f>
        <v>Not Found</v>
      </c>
      <c r="D316" s="2" t="s">
        <v>10</v>
      </c>
      <c r="E316" s="2" t="s">
        <v>11</v>
      </c>
      <c r="F316" s="2">
        <v>111</v>
      </c>
      <c r="G316" s="4">
        <v>0.28799999999999998</v>
      </c>
      <c r="H316" s="2">
        <v>-908</v>
      </c>
      <c r="I316" s="2">
        <v>94.1</v>
      </c>
      <c r="J316" s="2">
        <v>105.8</v>
      </c>
      <c r="K316" s="4">
        <v>0.50800000000000001</v>
      </c>
      <c r="L316" s="4">
        <v>0.54500000000000004</v>
      </c>
      <c r="M316" s="2">
        <v>-67</v>
      </c>
      <c r="N316" s="4">
        <v>0.70599999999999996</v>
      </c>
      <c r="O316" s="8">
        <f>Table1[[#This Row],[PT MARGIN]]/Table1[[#This Row],[G]]</f>
        <v>-8.1801801801801801</v>
      </c>
    </row>
    <row r="317" spans="1:15" hidden="1" x14ac:dyDescent="0.2">
      <c r="A317" s="1">
        <v>42</v>
      </c>
      <c r="B317" s="2" t="s">
        <v>52</v>
      </c>
      <c r="C317" s="2" t="str">
        <f>IF(COUNTIF($X$3:$X$20,B317)&gt;0,$X$2,
 IF(COUNTIF($Y$3:$Y$20,B317)&gt;0,$Y$2,
 IF(COUNTIF($Z$3:$Z$20,B317)&gt;0,$Z$2,
 IF(COUNTIF($AA$3:$AA$20,B317)&gt;0,$AA$2,
 IF(COUNTIF($AB$3:$AB$20,B317)&gt;0,$AB$2,
 IF(COUNTIF($AC$3:$AC$20,B317)&gt;0,$AC$2,
 IF(COUNTIF($AD$3:$AD$20,B317)&gt;0,$AD$2,
 "Not Found")))))))</f>
        <v>Not Found</v>
      </c>
      <c r="D317" s="2" t="s">
        <v>10</v>
      </c>
      <c r="E317" s="2" t="s">
        <v>11</v>
      </c>
      <c r="F317" s="2">
        <v>113</v>
      </c>
      <c r="G317" s="4">
        <v>0.54</v>
      </c>
      <c r="H317" s="2">
        <v>16</v>
      </c>
      <c r="I317" s="2">
        <v>103.1</v>
      </c>
      <c r="J317" s="2">
        <v>102.8</v>
      </c>
      <c r="K317" s="4">
        <v>0.53500000000000003</v>
      </c>
      <c r="L317" s="4">
        <v>0.54300000000000004</v>
      </c>
      <c r="M317" s="2">
        <v>114</v>
      </c>
      <c r="N317" s="4">
        <v>0.70799999999999996</v>
      </c>
      <c r="O317" s="8">
        <f>Table1[[#This Row],[PT MARGIN]]/Table1[[#This Row],[G]]</f>
        <v>0.1415929203539823</v>
      </c>
    </row>
    <row r="318" spans="1:15" hidden="1" x14ac:dyDescent="0.2">
      <c r="A318" s="1">
        <v>127</v>
      </c>
      <c r="B318" s="2" t="s">
        <v>143</v>
      </c>
      <c r="C318" s="2" t="str">
        <f>IF(COUNTIF($X$3:$X$20,B318)&gt;0,$X$2,
 IF(COUNTIF($Y$3:$Y$20,B318)&gt;0,$Y$2,
 IF(COUNTIF($Z$3:$Z$20,B318)&gt;0,$Z$2,
 IF(COUNTIF($AA$3:$AA$20,B318)&gt;0,$AA$2,
 IF(COUNTIF($AB$3:$AB$20,B318)&gt;0,$AB$2,
 IF(COUNTIF($AC$3:$AC$20,B318)&gt;0,$AC$2,
 IF(COUNTIF($AD$3:$AD$20,B318)&gt;0,$AD$2,
 "Not Found")))))))</f>
        <v>Not Found</v>
      </c>
      <c r="D318" s="2" t="s">
        <v>10</v>
      </c>
      <c r="E318" s="2" t="s">
        <v>11</v>
      </c>
      <c r="F318" s="2">
        <v>137</v>
      </c>
      <c r="G318" s="4">
        <v>0.40100000000000002</v>
      </c>
      <c r="H318" s="2">
        <v>-404</v>
      </c>
      <c r="I318" s="2">
        <v>97.2</v>
      </c>
      <c r="J318" s="2">
        <v>101.4</v>
      </c>
      <c r="K318" s="4">
        <v>0.53</v>
      </c>
      <c r="L318" s="4">
        <v>0.55000000000000004</v>
      </c>
      <c r="M318" s="2">
        <v>99</v>
      </c>
      <c r="N318" s="4">
        <v>0.71099999999999997</v>
      </c>
      <c r="O318" s="8">
        <f>Table1[[#This Row],[PT MARGIN]]/Table1[[#This Row],[G]]</f>
        <v>-2.948905109489051</v>
      </c>
    </row>
    <row r="319" spans="1:15" hidden="1" x14ac:dyDescent="0.2">
      <c r="A319" s="1">
        <v>12</v>
      </c>
      <c r="B319" s="2" t="s">
        <v>22</v>
      </c>
      <c r="C319" s="2" t="str">
        <f>IF(COUNTIF($X$3:$X$20,B319)&gt;0,$X$2,
 IF(COUNTIF($Y$3:$Y$20,B319)&gt;0,$Y$2,
 IF(COUNTIF($Z$3:$Z$20,B319)&gt;0,$Z$2,
 IF(COUNTIF($AA$3:$AA$20,B319)&gt;0,$AA$2,
 IF(COUNTIF($AB$3:$AB$20,B319)&gt;0,$AB$2,
 IF(COUNTIF($AC$3:$AC$20,B319)&gt;0,$AC$2,
 IF(COUNTIF($AD$3:$AD$20,B319)&gt;0,$AD$2,
 "Not Found")))))))</f>
        <v>Not Found</v>
      </c>
      <c r="D319" s="2" t="s">
        <v>10</v>
      </c>
      <c r="E319" s="2" t="s">
        <v>11</v>
      </c>
      <c r="F319" s="2">
        <v>150</v>
      </c>
      <c r="G319" s="4">
        <v>0.58699999999999997</v>
      </c>
      <c r="H319" s="2">
        <v>277</v>
      </c>
      <c r="I319" s="2">
        <v>98.5</v>
      </c>
      <c r="J319" s="2">
        <v>95.9</v>
      </c>
      <c r="K319" s="4">
        <v>0.52500000000000002</v>
      </c>
      <c r="L319" s="4">
        <v>0.5</v>
      </c>
      <c r="M319" s="2">
        <v>294</v>
      </c>
      <c r="N319" s="4">
        <v>0.71099999999999997</v>
      </c>
      <c r="O319" s="8">
        <f>Table1[[#This Row],[PT MARGIN]]/Table1[[#This Row],[G]]</f>
        <v>1.8466666666666667</v>
      </c>
    </row>
    <row r="320" spans="1:15" hidden="1" x14ac:dyDescent="0.2">
      <c r="A320" s="1">
        <v>246</v>
      </c>
      <c r="B320" s="2" t="s">
        <v>338</v>
      </c>
      <c r="C320" s="2" t="str">
        <f>IF(COUNTIF($X$3:$X$20,B320)&gt;0,$X$2,
 IF(COUNTIF($Y$3:$Y$20,B320)&gt;0,$Y$2,
 IF(COUNTIF($Z$3:$Z$20,B320)&gt;0,$Z$2,
 IF(COUNTIF($AA$3:$AA$20,B320)&gt;0,$AA$2,
 IF(COUNTIF($AB$3:$AB$20,B320)&gt;0,$AB$2,
 IF(COUNTIF($AC$3:$AC$20,B320)&gt;0,$AC$2,
 IF(COUNTIF($AD$3:$AD$20,B320)&gt;0,$AD$2,
 "Not Found")))))))</f>
        <v>Not Found</v>
      </c>
      <c r="D320" s="2" t="s">
        <v>10</v>
      </c>
      <c r="E320" s="2" t="s">
        <v>11</v>
      </c>
      <c r="F320" s="2">
        <v>151</v>
      </c>
      <c r="G320" s="4">
        <v>0.35799999999999998</v>
      </c>
      <c r="H320" s="2">
        <v>-861</v>
      </c>
      <c r="I320" s="2">
        <v>95.9</v>
      </c>
      <c r="J320" s="2">
        <v>104.2</v>
      </c>
      <c r="K320" s="4">
        <v>0.50900000000000001</v>
      </c>
      <c r="L320" s="4">
        <v>0.54500000000000004</v>
      </c>
      <c r="M320" s="2">
        <v>378</v>
      </c>
      <c r="N320" s="4">
        <v>0.71699999999999997</v>
      </c>
      <c r="O320" s="8">
        <f>Table1[[#This Row],[PT MARGIN]]/Table1[[#This Row],[G]]</f>
        <v>-5.701986754966887</v>
      </c>
    </row>
    <row r="321" spans="1:15" hidden="1" x14ac:dyDescent="0.2">
      <c r="A321" s="1">
        <v>62</v>
      </c>
      <c r="B321" s="2" t="s">
        <v>72</v>
      </c>
      <c r="C321" s="2" t="str">
        <f>IF(COUNTIF($X$3:$X$20,B321)&gt;0,$X$2,
 IF(COUNTIF($Y$3:$Y$20,B321)&gt;0,$Y$2,
 IF(COUNTIF($Z$3:$Z$20,B321)&gt;0,$Z$2,
 IF(COUNTIF($AA$3:$AA$20,B321)&gt;0,$AA$2,
 IF(COUNTIF($AB$3:$AB$20,B321)&gt;0,$AB$2,
 IF(COUNTIF($AC$3:$AC$20,B321)&gt;0,$AC$2,
 IF(COUNTIF($AD$3:$AD$20,B321)&gt;0,$AD$2,
 "Not Found")))))))</f>
        <v>Not Found</v>
      </c>
      <c r="D321" s="2" t="s">
        <v>73</v>
      </c>
      <c r="E321" s="2" t="s">
        <v>11</v>
      </c>
      <c r="F321" s="2">
        <v>66</v>
      </c>
      <c r="G321" s="4">
        <v>0.439</v>
      </c>
      <c r="H321" s="2">
        <v>-92</v>
      </c>
      <c r="I321" s="2">
        <v>101.8</v>
      </c>
      <c r="J321" s="2">
        <v>103.8</v>
      </c>
      <c r="K321" s="4">
        <v>0.54600000000000004</v>
      </c>
      <c r="L321" s="4">
        <v>0.54800000000000004</v>
      </c>
      <c r="M321" s="2">
        <v>-48</v>
      </c>
      <c r="N321" s="4">
        <v>0.72</v>
      </c>
      <c r="O321" s="8">
        <f>Table1[[#This Row],[PT MARGIN]]/Table1[[#This Row],[G]]</f>
        <v>-1.393939393939394</v>
      </c>
    </row>
    <row r="322" spans="1:15" hidden="1" x14ac:dyDescent="0.2">
      <c r="A322" s="1">
        <v>51</v>
      </c>
      <c r="B322" s="2" t="s">
        <v>61</v>
      </c>
      <c r="C322" s="2" t="str">
        <f>IF(COUNTIF($X$3:$X$20,B322)&gt;0,$X$2,
 IF(COUNTIF($Y$3:$Y$20,B322)&gt;0,$Y$2,
 IF(COUNTIF($Z$3:$Z$20,B322)&gt;0,$Z$2,
 IF(COUNTIF($AA$3:$AA$20,B322)&gt;0,$AA$2,
 IF(COUNTIF($AB$3:$AB$20,B322)&gt;0,$AB$2,
 IF(COUNTIF($AC$3:$AC$20,B322)&gt;0,$AC$2,
 IF(COUNTIF($AD$3:$AD$20,B322)&gt;0,$AD$2,
 "Not Found")))))))</f>
        <v>Not Found</v>
      </c>
      <c r="D322" s="2" t="s">
        <v>10</v>
      </c>
      <c r="E322" s="2" t="s">
        <v>11</v>
      </c>
      <c r="F322" s="2">
        <v>137</v>
      </c>
      <c r="G322" s="4">
        <v>0.51800000000000002</v>
      </c>
      <c r="H322" s="2">
        <v>-37</v>
      </c>
      <c r="I322" s="2">
        <v>102.4</v>
      </c>
      <c r="J322" s="2">
        <v>102.8</v>
      </c>
      <c r="K322" s="4">
        <v>0.54300000000000004</v>
      </c>
      <c r="L322" s="4">
        <v>0.53800000000000003</v>
      </c>
      <c r="M322" s="2">
        <v>87</v>
      </c>
      <c r="N322" s="4">
        <v>0.73</v>
      </c>
      <c r="O322" s="8">
        <f>Table1[[#This Row],[PT MARGIN]]/Table1[[#This Row],[G]]</f>
        <v>-0.27007299270072993</v>
      </c>
    </row>
    <row r="323" spans="1:15" x14ac:dyDescent="0.2">
      <c r="A323" s="1">
        <v>154</v>
      </c>
      <c r="B323" s="2" t="s">
        <v>170</v>
      </c>
      <c r="C323" s="2" t="str">
        <f>IF(COUNTIF($X$3:$X$20,B323)&gt;0,$X$2,
 IF(COUNTIF($Y$3:$Y$20,B323)&gt;0,$Y$2,
 IF(COUNTIF($Z$3:$Z$20,B323)&gt;0,$Z$2,
 IF(COUNTIF($AA$3:$AA$20,B323)&gt;0,$AA$2,
 IF(COUNTIF($AB$3:$AB$20,B323)&gt;0,$AB$2,
 IF(COUNTIF($AC$3:$AC$20,B323)&gt;0,$AC$2,
 IF(COUNTIF($AD$3:$AD$20,B323)&gt;0,$AD$2,
 "Not Found")))))))</f>
        <v>Big 12</v>
      </c>
      <c r="D323" s="2" t="s">
        <v>10</v>
      </c>
      <c r="E323" s="2" t="s">
        <v>11</v>
      </c>
      <c r="F323" s="2">
        <v>110</v>
      </c>
      <c r="G323" s="4">
        <v>0.36399999999999999</v>
      </c>
      <c r="H323" s="2">
        <v>-506</v>
      </c>
      <c r="I323" s="2">
        <v>96.7</v>
      </c>
      <c r="J323" s="2">
        <v>103.3</v>
      </c>
      <c r="K323" s="4">
        <v>0.51900000000000002</v>
      </c>
      <c r="L323" s="4">
        <v>0.53300000000000003</v>
      </c>
      <c r="M323" s="2">
        <v>24</v>
      </c>
      <c r="N323" s="4">
        <v>0.73899999999999999</v>
      </c>
      <c r="O323" s="8">
        <f>Table1[[#This Row],[PT MARGIN]]/Table1[[#This Row],[G]]</f>
        <v>-4.5999999999999996</v>
      </c>
    </row>
    <row r="324" spans="1:15" x14ac:dyDescent="0.2">
      <c r="A324" s="1">
        <v>47</v>
      </c>
      <c r="B324" s="2" t="s">
        <v>57</v>
      </c>
      <c r="C324" s="2" t="str">
        <f>IF(COUNTIF($X$3:$X$20,B324)&gt;0,$X$2,
 IF(COUNTIF($Y$3:$Y$20,B324)&gt;0,$Y$2,
 IF(COUNTIF($Z$3:$Z$20,B324)&gt;0,$Z$2,
 IF(COUNTIF($AA$3:$AA$20,B324)&gt;0,$AA$2,
 IF(COUNTIF($AB$3:$AB$20,B324)&gt;0,$AB$2,
 IF(COUNTIF($AC$3:$AC$20,B324)&gt;0,$AC$2,
 IF(COUNTIF($AD$3:$AD$20,B324)&gt;0,$AD$2,
 "Not Found")))))))</f>
        <v>Big 10</v>
      </c>
      <c r="D324" s="2" t="s">
        <v>10</v>
      </c>
      <c r="E324" s="2" t="s">
        <v>11</v>
      </c>
      <c r="F324" s="2">
        <v>105</v>
      </c>
      <c r="G324" s="4">
        <v>0.51400000000000001</v>
      </c>
      <c r="H324" s="2">
        <v>-4</v>
      </c>
      <c r="I324" s="2">
        <v>104.6</v>
      </c>
      <c r="J324" s="2">
        <v>104.6</v>
      </c>
      <c r="K324" s="4">
        <v>0.53900000000000003</v>
      </c>
      <c r="L324" s="4">
        <v>0.54400000000000004</v>
      </c>
      <c r="M324" s="2">
        <v>96</v>
      </c>
      <c r="N324" s="4">
        <v>0.72099999999999997</v>
      </c>
      <c r="O324" s="8">
        <f>Table1[[#This Row],[PT MARGIN]]/Table1[[#This Row],[G]]</f>
        <v>-3.8095238095238099E-2</v>
      </c>
    </row>
    <row r="325" spans="1:15" hidden="1" x14ac:dyDescent="0.2">
      <c r="A325" s="1">
        <v>161</v>
      </c>
      <c r="B325" s="2" t="s">
        <v>177</v>
      </c>
      <c r="C325" s="2" t="str">
        <f>IF(COUNTIF($X$3:$X$20,B325)&gt;0,$X$2,
 IF(COUNTIF($Y$3:$Y$20,B325)&gt;0,$Y$2,
 IF(COUNTIF($Z$3:$Z$20,B325)&gt;0,$Z$2,
 IF(COUNTIF($AA$3:$AA$20,B325)&gt;0,$AA$2,
 IF(COUNTIF($AB$3:$AB$20,B325)&gt;0,$AB$2,
 IF(COUNTIF($AC$3:$AC$20,B325)&gt;0,$AC$2,
 IF(COUNTIF($AD$3:$AD$20,B325)&gt;0,$AD$2,
 "Not Found")))))))</f>
        <v>Not Found</v>
      </c>
      <c r="D325" s="2" t="s">
        <v>10</v>
      </c>
      <c r="E325" s="2" t="s">
        <v>11</v>
      </c>
      <c r="F325" s="2">
        <v>144</v>
      </c>
      <c r="G325" s="4">
        <v>0.36099999999999999</v>
      </c>
      <c r="H325" s="2">
        <v>-529</v>
      </c>
      <c r="I325" s="2">
        <v>99.9</v>
      </c>
      <c r="J325" s="2">
        <v>105</v>
      </c>
      <c r="K325" s="4">
        <v>0.54400000000000004</v>
      </c>
      <c r="L325" s="4">
        <v>0.55000000000000004</v>
      </c>
      <c r="M325" s="2">
        <v>48</v>
      </c>
      <c r="N325" s="4">
        <v>0.71199999999999997</v>
      </c>
      <c r="O325" s="8">
        <f>Table1[[#This Row],[PT MARGIN]]/Table1[[#This Row],[G]]</f>
        <v>-3.6736111111111112</v>
      </c>
    </row>
    <row r="326" spans="1:15" hidden="1" x14ac:dyDescent="0.2">
      <c r="A326" s="1">
        <v>152</v>
      </c>
      <c r="B326" s="2" t="s">
        <v>168</v>
      </c>
      <c r="C326" s="2" t="str">
        <f>IF(COUNTIF($X$3:$X$20,B326)&gt;0,$X$2,
 IF(COUNTIF($Y$3:$Y$20,B326)&gt;0,$Y$2,
 IF(COUNTIF($Z$3:$Z$20,B326)&gt;0,$Z$2,
 IF(COUNTIF($AA$3:$AA$20,B326)&gt;0,$AA$2,
 IF(COUNTIF($AB$3:$AB$20,B326)&gt;0,$AB$2,
 IF(COUNTIF($AC$3:$AC$20,B326)&gt;0,$AC$2,
 IF(COUNTIF($AD$3:$AD$20,B326)&gt;0,$AD$2,
 "Not Found")))))))</f>
        <v>Not Found</v>
      </c>
      <c r="D326" s="2" t="s">
        <v>10</v>
      </c>
      <c r="E326" s="2" t="s">
        <v>11</v>
      </c>
      <c r="F326" s="2">
        <v>145</v>
      </c>
      <c r="G326" s="4">
        <v>0.41399999999999998</v>
      </c>
      <c r="H326" s="2">
        <v>-497</v>
      </c>
      <c r="I326" s="2">
        <v>100.1</v>
      </c>
      <c r="J326" s="2">
        <v>104.9</v>
      </c>
      <c r="K326" s="4">
        <v>0.53600000000000003</v>
      </c>
      <c r="L326" s="4">
        <v>0.54600000000000004</v>
      </c>
      <c r="M326" s="2">
        <v>-39</v>
      </c>
      <c r="N326" s="4">
        <v>0.71399999999999997</v>
      </c>
      <c r="O326" s="8">
        <f>Table1[[#This Row],[PT MARGIN]]/Table1[[#This Row],[G]]</f>
        <v>-3.4275862068965517</v>
      </c>
    </row>
    <row r="327" spans="1:15" hidden="1" x14ac:dyDescent="0.2">
      <c r="A327" s="1">
        <v>203</v>
      </c>
      <c r="B327" s="2" t="s">
        <v>381</v>
      </c>
      <c r="C327" s="2" t="str">
        <f>IF(COUNTIF($X$3:$X$20,B327)&gt;0,$X$2,
 IF(COUNTIF($Y$3:$Y$20,B327)&gt;0,$Y$2,
 IF(COUNTIF($Z$3:$Z$20,B327)&gt;0,$Z$2,
 IF(COUNTIF($AA$3:$AA$20,B327)&gt;0,$AA$2,
 IF(COUNTIF($AB$3:$AB$20,B327)&gt;0,$AB$2,
 IF(COUNTIF($AC$3:$AC$20,B327)&gt;0,$AC$2,
 IF(COUNTIF($AD$3:$AD$20,B327)&gt;0,$AD$2,
 "Not Found")))))))</f>
        <v>Not Found</v>
      </c>
      <c r="D327" s="2" t="s">
        <v>10</v>
      </c>
      <c r="E327" s="2" t="s">
        <v>11</v>
      </c>
      <c r="F327" s="2">
        <v>142</v>
      </c>
      <c r="G327" s="4">
        <v>0.42299999999999999</v>
      </c>
      <c r="H327" s="2">
        <v>-676</v>
      </c>
      <c r="I327" s="2">
        <v>100.1</v>
      </c>
      <c r="J327" s="2">
        <v>106.8</v>
      </c>
      <c r="K327" s="4">
        <v>0.54100000000000004</v>
      </c>
      <c r="L327" s="4">
        <v>0.56000000000000005</v>
      </c>
      <c r="M327" s="2">
        <v>49</v>
      </c>
      <c r="N327" s="4">
        <v>0.70699999999999996</v>
      </c>
      <c r="O327" s="8">
        <f>Table1[[#This Row],[PT MARGIN]]/Table1[[#This Row],[G]]</f>
        <v>-4.76056338028169</v>
      </c>
    </row>
    <row r="328" spans="1:15" hidden="1" x14ac:dyDescent="0.2">
      <c r="A328" s="1">
        <v>27</v>
      </c>
      <c r="B328" s="2" t="s">
        <v>37</v>
      </c>
      <c r="C328" s="2" t="str">
        <f>IF(COUNTIF($X$3:$X$20,B328)&gt;0,$X$2,
 IF(COUNTIF($Y$3:$Y$20,B328)&gt;0,$Y$2,
 IF(COUNTIF($Z$3:$Z$20,B328)&gt;0,$Z$2,
 IF(COUNTIF($AA$3:$AA$20,B328)&gt;0,$AA$2,
 IF(COUNTIF($AB$3:$AB$20,B328)&gt;0,$AB$2,
 IF(COUNTIF($AC$3:$AC$20,B328)&gt;0,$AC$2,
 IF(COUNTIF($AD$3:$AD$20,B328)&gt;0,$AD$2,
 "Not Found")))))))</f>
        <v>Not Found</v>
      </c>
      <c r="D328" s="2" t="s">
        <v>10</v>
      </c>
      <c r="E328" s="2" t="s">
        <v>11</v>
      </c>
      <c r="F328" s="2">
        <v>138</v>
      </c>
      <c r="G328" s="4">
        <v>0.57199999999999995</v>
      </c>
      <c r="H328" s="2">
        <v>128</v>
      </c>
      <c r="I328" s="2">
        <v>103.3</v>
      </c>
      <c r="J328" s="2">
        <v>101.9</v>
      </c>
      <c r="K328" s="4">
        <v>0.53300000000000003</v>
      </c>
      <c r="L328" s="4">
        <v>0.54700000000000004</v>
      </c>
      <c r="M328" s="2">
        <v>330</v>
      </c>
      <c r="N328" s="4">
        <v>0.72599999999999998</v>
      </c>
      <c r="O328" s="8">
        <f>Table1[[#This Row],[PT MARGIN]]/Table1[[#This Row],[G]]</f>
        <v>0.92753623188405798</v>
      </c>
    </row>
    <row r="329" spans="1:15" hidden="1" x14ac:dyDescent="0.2">
      <c r="A329" s="1">
        <v>101</v>
      </c>
      <c r="B329" s="2" t="s">
        <v>115</v>
      </c>
      <c r="C329" s="2" t="str">
        <f>IF(COUNTIF($X$3:$X$20,B329)&gt;0,$X$2,
 IF(COUNTIF($Y$3:$Y$20,B329)&gt;0,$Y$2,
 IF(COUNTIF($Z$3:$Z$20,B329)&gt;0,$Z$2,
 IF(COUNTIF($AA$3:$AA$20,B329)&gt;0,$AA$2,
 IF(COUNTIF($AB$3:$AB$20,B329)&gt;0,$AB$2,
 IF(COUNTIF($AC$3:$AC$20,B329)&gt;0,$AC$2,
 IF(COUNTIF($AD$3:$AD$20,B329)&gt;0,$AD$2,
 "Not Found")))))))</f>
        <v>Not Found</v>
      </c>
      <c r="D329" s="2" t="s">
        <v>10</v>
      </c>
      <c r="E329" s="2" t="s">
        <v>11</v>
      </c>
      <c r="F329" s="2">
        <v>131</v>
      </c>
      <c r="G329" s="4">
        <v>0.48099999999999998</v>
      </c>
      <c r="H329" s="2">
        <v>-317</v>
      </c>
      <c r="I329" s="2">
        <v>103</v>
      </c>
      <c r="J329" s="2">
        <v>106.4</v>
      </c>
      <c r="K329" s="4">
        <v>0.52700000000000002</v>
      </c>
      <c r="L329" s="4">
        <v>0.56200000000000006</v>
      </c>
      <c r="M329" s="2">
        <v>237</v>
      </c>
      <c r="N329" s="4">
        <v>0.71799999999999997</v>
      </c>
      <c r="O329" s="8">
        <f>Table1[[#This Row],[PT MARGIN]]/Table1[[#This Row],[G]]</f>
        <v>-2.4198473282442747</v>
      </c>
    </row>
    <row r="330" spans="1:15" hidden="1" x14ac:dyDescent="0.2">
      <c r="A330" s="1">
        <v>115</v>
      </c>
      <c r="B330" s="2" t="s">
        <v>130</v>
      </c>
      <c r="C330" s="2" t="str">
        <f>IF(COUNTIF($X$3:$X$20,B330)&gt;0,$X$2,
 IF(COUNTIF($Y$3:$Y$20,B330)&gt;0,$Y$2,
 IF(COUNTIF($Z$3:$Z$20,B330)&gt;0,$Z$2,
 IF(COUNTIF($AA$3:$AA$20,B330)&gt;0,$AA$2,
 IF(COUNTIF($AB$3:$AB$20,B330)&gt;0,$AB$2,
 IF(COUNTIF($AC$3:$AC$20,B330)&gt;0,$AC$2,
 IF(COUNTIF($AD$3:$AD$20,B330)&gt;0,$AD$2,
 "Not Found")))))))</f>
        <v>Not Found</v>
      </c>
      <c r="D330" s="2" t="s">
        <v>10</v>
      </c>
      <c r="E330" s="2" t="s">
        <v>11</v>
      </c>
      <c r="F330" s="2">
        <v>110</v>
      </c>
      <c r="G330" s="4">
        <v>0.4</v>
      </c>
      <c r="H330" s="2">
        <v>-356</v>
      </c>
      <c r="I330" s="2">
        <v>100.9</v>
      </c>
      <c r="J330" s="2">
        <v>105.5</v>
      </c>
      <c r="K330" s="4">
        <v>0.53400000000000003</v>
      </c>
      <c r="L330" s="4">
        <v>0.55300000000000005</v>
      </c>
      <c r="M330" s="2">
        <v>153</v>
      </c>
      <c r="N330" s="4">
        <v>0.72099999999999997</v>
      </c>
      <c r="O330" s="8">
        <f>Table1[[#This Row],[PT MARGIN]]/Table1[[#This Row],[G]]</f>
        <v>-3.2363636363636363</v>
      </c>
    </row>
    <row r="331" spans="1:15" hidden="1" x14ac:dyDescent="0.2">
      <c r="A331" s="1">
        <v>344</v>
      </c>
      <c r="B331" s="2" t="s">
        <v>240</v>
      </c>
      <c r="C331" s="2" t="str">
        <f>IF(COUNTIF($X$3:$X$20,B331)&gt;0,$X$2,
 IF(COUNTIF($Y$3:$Y$20,B331)&gt;0,$Y$2,
 IF(COUNTIF($Z$3:$Z$20,B331)&gt;0,$Z$2,
 IF(COUNTIF($AA$3:$AA$20,B331)&gt;0,$AA$2,
 IF(COUNTIF($AB$3:$AB$20,B331)&gt;0,$AB$2,
 IF(COUNTIF($AC$3:$AC$20,B331)&gt;0,$AC$2,
 IF(COUNTIF($AD$3:$AD$20,B331)&gt;0,$AD$2,
 "Not Found")))))))</f>
        <v>Not Found</v>
      </c>
      <c r="D331" s="2" t="s">
        <v>10</v>
      </c>
      <c r="E331" s="2" t="s">
        <v>11</v>
      </c>
      <c r="F331" s="2">
        <v>151</v>
      </c>
      <c r="G331" s="4">
        <v>0.22500000000000001</v>
      </c>
      <c r="H331" s="2">
        <v>-1667</v>
      </c>
      <c r="I331" s="2">
        <v>96.1</v>
      </c>
      <c r="J331" s="2">
        <v>111.7</v>
      </c>
      <c r="K331" s="4">
        <v>0.51900000000000002</v>
      </c>
      <c r="L331" s="4">
        <v>0.57999999999999996</v>
      </c>
      <c r="M331" s="2">
        <v>523</v>
      </c>
      <c r="N331" s="4">
        <v>0.72</v>
      </c>
      <c r="O331" s="8">
        <f>Table1[[#This Row],[PT MARGIN]]/Table1[[#This Row],[G]]</f>
        <v>-11.039735099337749</v>
      </c>
    </row>
    <row r="332" spans="1:15" hidden="1" x14ac:dyDescent="0.2">
      <c r="A332" s="1">
        <v>149</v>
      </c>
      <c r="B332" s="2" t="s">
        <v>165</v>
      </c>
      <c r="C332" s="2" t="str">
        <f>IF(COUNTIF($X$3:$X$20,B332)&gt;0,$X$2,
 IF(COUNTIF($Y$3:$Y$20,B332)&gt;0,$Y$2,
 IF(COUNTIF($Z$3:$Z$20,B332)&gt;0,$Z$2,
 IF(COUNTIF($AA$3:$AA$20,B332)&gt;0,$AA$2,
 IF(COUNTIF($AB$3:$AB$20,B332)&gt;0,$AB$2,
 IF(COUNTIF($AC$3:$AC$20,B332)&gt;0,$AC$2,
 IF(COUNTIF($AD$3:$AD$20,B332)&gt;0,$AD$2,
 "Not Found")))))))</f>
        <v>Not Found</v>
      </c>
      <c r="D332" s="2" t="s">
        <v>10</v>
      </c>
      <c r="E332" s="2" t="s">
        <v>11</v>
      </c>
      <c r="F332" s="2">
        <v>149</v>
      </c>
      <c r="G332" s="4">
        <v>0.36899999999999999</v>
      </c>
      <c r="H332" s="2">
        <v>-490</v>
      </c>
      <c r="I332" s="2">
        <v>98</v>
      </c>
      <c r="J332" s="2">
        <v>102.6</v>
      </c>
      <c r="K332" s="4">
        <v>0.51800000000000002</v>
      </c>
      <c r="L332" s="4">
        <v>0.54100000000000004</v>
      </c>
      <c r="M332" s="2">
        <v>238</v>
      </c>
      <c r="N332" s="4">
        <v>0.70099999999999996</v>
      </c>
      <c r="O332" s="8">
        <f>Table1[[#This Row],[PT MARGIN]]/Table1[[#This Row],[G]]</f>
        <v>-3.2885906040268456</v>
      </c>
    </row>
    <row r="333" spans="1:15" hidden="1" x14ac:dyDescent="0.2">
      <c r="A333" s="1">
        <v>308</v>
      </c>
      <c r="B333" s="2" t="s">
        <v>276</v>
      </c>
      <c r="C333" s="2" t="str">
        <f>IF(COUNTIF($X$3:$X$20,B333)&gt;0,$X$2,
 IF(COUNTIF($Y$3:$Y$20,B333)&gt;0,$Y$2,
 IF(COUNTIF($Z$3:$Z$20,B333)&gt;0,$Z$2,
 IF(COUNTIF($AA$3:$AA$20,B333)&gt;0,$AA$2,
 IF(COUNTIF($AB$3:$AB$20,B333)&gt;0,$AB$2,
 IF(COUNTIF($AC$3:$AC$20,B333)&gt;0,$AC$2,
 IF(COUNTIF($AD$3:$AD$20,B333)&gt;0,$AD$2,
 "Not Found")))))))</f>
        <v>Not Found</v>
      </c>
      <c r="D333" s="2" t="s">
        <v>10</v>
      </c>
      <c r="E333" s="2" t="s">
        <v>11</v>
      </c>
      <c r="F333" s="2">
        <v>152</v>
      </c>
      <c r="G333" s="4">
        <v>0.28899999999999998</v>
      </c>
      <c r="H333" s="2">
        <v>-1218</v>
      </c>
      <c r="I333" s="2">
        <v>98</v>
      </c>
      <c r="J333" s="2">
        <v>109.1</v>
      </c>
      <c r="K333" s="4">
        <v>0.52</v>
      </c>
      <c r="L333" s="4">
        <v>0.56399999999999995</v>
      </c>
      <c r="M333" s="2">
        <v>264</v>
      </c>
      <c r="N333" s="4">
        <v>0.71699999999999997</v>
      </c>
      <c r="O333" s="8">
        <f>Table1[[#This Row],[PT MARGIN]]/Table1[[#This Row],[G]]</f>
        <v>-8.0131578947368425</v>
      </c>
    </row>
    <row r="334" spans="1:15" x14ac:dyDescent="0.2">
      <c r="A334" s="1">
        <v>189</v>
      </c>
      <c r="B334" s="2" t="s">
        <v>205</v>
      </c>
      <c r="C334" s="2" t="str">
        <f>IF(COUNTIF($X$3:$X$20,B334)&gt;0,$X$2,
 IF(COUNTIF($Y$3:$Y$20,B334)&gt;0,$Y$2,
 IF(COUNTIF($Z$3:$Z$20,B334)&gt;0,$Z$2,
 IF(COUNTIF($AA$3:$AA$20,B334)&gt;0,$AA$2,
 IF(COUNTIF($AB$3:$AB$20,B334)&gt;0,$AB$2,
 IF(COUNTIF($AC$3:$AC$20,B334)&gt;0,$AC$2,
 IF(COUNTIF($AD$3:$AD$20,B334)&gt;0,$AD$2,
 "Not Found")))))))</f>
        <v>Big 12</v>
      </c>
      <c r="D334" s="2" t="s">
        <v>10</v>
      </c>
      <c r="E334" s="2" t="s">
        <v>11</v>
      </c>
      <c r="F334" s="2">
        <v>107</v>
      </c>
      <c r="G334" s="4">
        <v>0.318</v>
      </c>
      <c r="H334" s="2">
        <v>-622</v>
      </c>
      <c r="I334" s="2">
        <v>99</v>
      </c>
      <c r="J334" s="2">
        <v>107.4</v>
      </c>
      <c r="K334" s="4">
        <v>0.52800000000000002</v>
      </c>
      <c r="L334" s="4">
        <v>0.55200000000000005</v>
      </c>
      <c r="M334" s="2">
        <v>16</v>
      </c>
      <c r="N334" s="4">
        <v>0.71199999999999997</v>
      </c>
      <c r="O334" s="8">
        <f>Table1[[#This Row],[PT MARGIN]]/Table1[[#This Row],[G]]</f>
        <v>-5.8130841121495331</v>
      </c>
    </row>
    <row r="335" spans="1:15" hidden="1" x14ac:dyDescent="0.2">
      <c r="A335" s="1">
        <v>58</v>
      </c>
      <c r="B335" s="2" t="s">
        <v>68</v>
      </c>
      <c r="C335" s="2" t="str">
        <f>IF(COUNTIF($X$3:$X$20,B335)&gt;0,$X$2,
 IF(COUNTIF($Y$3:$Y$20,B335)&gt;0,$Y$2,
 IF(COUNTIF($Z$3:$Z$20,B335)&gt;0,$Z$2,
 IF(COUNTIF($AA$3:$AA$20,B335)&gt;0,$AA$2,
 IF(COUNTIF($AB$3:$AB$20,B335)&gt;0,$AB$2,
 IF(COUNTIF($AC$3:$AC$20,B335)&gt;0,$AC$2,
 IF(COUNTIF($AD$3:$AD$20,B335)&gt;0,$AD$2,
 "Not Found")))))))</f>
        <v>Not Found</v>
      </c>
      <c r="D335" s="2" t="s">
        <v>10</v>
      </c>
      <c r="E335" s="2" t="s">
        <v>11</v>
      </c>
      <c r="F335" s="2">
        <v>113</v>
      </c>
      <c r="G335" s="4">
        <v>0.46899999999999997</v>
      </c>
      <c r="H335" s="2">
        <v>-80</v>
      </c>
      <c r="I335" s="2">
        <v>103.8</v>
      </c>
      <c r="J335" s="2">
        <v>104.8</v>
      </c>
      <c r="K335" s="4">
        <v>0.55000000000000004</v>
      </c>
      <c r="L335" s="4">
        <v>0.55200000000000005</v>
      </c>
      <c r="M335" s="2">
        <v>143</v>
      </c>
      <c r="N335" s="4">
        <v>0.73899999999999999</v>
      </c>
      <c r="O335" s="8">
        <f>Table1[[#This Row],[PT MARGIN]]/Table1[[#This Row],[G]]</f>
        <v>-0.70796460176991149</v>
      </c>
    </row>
    <row r="336" spans="1:15" hidden="1" x14ac:dyDescent="0.2">
      <c r="A336" s="1">
        <v>227</v>
      </c>
      <c r="B336" s="2" t="s">
        <v>357</v>
      </c>
      <c r="C336" s="2" t="str">
        <f>IF(COUNTIF($X$3:$X$20,B336)&gt;0,$X$2,
 IF(COUNTIF($Y$3:$Y$20,B336)&gt;0,$Y$2,
 IF(COUNTIF($Z$3:$Z$20,B336)&gt;0,$Z$2,
 IF(COUNTIF($AA$3:$AA$20,B336)&gt;0,$AA$2,
 IF(COUNTIF($AB$3:$AB$20,B336)&gt;0,$AB$2,
 IF(COUNTIF($AC$3:$AC$20,B336)&gt;0,$AC$2,
 IF(COUNTIF($AD$3:$AD$20,B336)&gt;0,$AD$2,
 "Not Found")))))))</f>
        <v>Not Found</v>
      </c>
      <c r="D336" s="2" t="s">
        <v>73</v>
      </c>
      <c r="E336" s="2" t="s">
        <v>11</v>
      </c>
      <c r="F336" s="2">
        <v>73</v>
      </c>
      <c r="G336" s="4">
        <v>0.192</v>
      </c>
      <c r="H336" s="2">
        <v>-788</v>
      </c>
      <c r="I336" s="2">
        <v>94</v>
      </c>
      <c r="J336" s="2">
        <v>108.7</v>
      </c>
      <c r="K336" s="4">
        <v>0.51500000000000001</v>
      </c>
      <c r="L336" s="4">
        <v>0.57599999999999996</v>
      </c>
      <c r="M336" s="2">
        <v>63</v>
      </c>
      <c r="N336" s="4">
        <v>0.73099999999999998</v>
      </c>
      <c r="O336" s="8">
        <f>Table1[[#This Row],[PT MARGIN]]/Table1[[#This Row],[G]]</f>
        <v>-10.794520547945206</v>
      </c>
    </row>
    <row r="337" spans="1:15" hidden="1" x14ac:dyDescent="0.2">
      <c r="A337" s="1">
        <v>118</v>
      </c>
      <c r="B337" s="2" t="s">
        <v>134</v>
      </c>
      <c r="C337" s="2" t="str">
        <f>IF(COUNTIF($X$3:$X$20,B337)&gt;0,$X$2,
 IF(COUNTIF($Y$3:$Y$20,B337)&gt;0,$Y$2,
 IF(COUNTIF($Z$3:$Z$20,B337)&gt;0,$Z$2,
 IF(COUNTIF($AA$3:$AA$20,B337)&gt;0,$AA$2,
 IF(COUNTIF($AB$3:$AB$20,B337)&gt;0,$AB$2,
 IF(COUNTIF($AC$3:$AC$20,B337)&gt;0,$AC$2,
 IF(COUNTIF($AD$3:$AD$20,B337)&gt;0,$AD$2,
 "Not Found")))))))</f>
        <v>Not Found</v>
      </c>
      <c r="D337" s="2" t="s">
        <v>10</v>
      </c>
      <c r="E337" s="2" t="s">
        <v>11</v>
      </c>
      <c r="F337" s="2">
        <v>146</v>
      </c>
      <c r="G337" s="4">
        <v>0.438</v>
      </c>
      <c r="H337" s="2">
        <v>-363</v>
      </c>
      <c r="I337" s="2">
        <v>97.3</v>
      </c>
      <c r="J337" s="2">
        <v>100.8</v>
      </c>
      <c r="K337" s="4">
        <v>0.52600000000000002</v>
      </c>
      <c r="L337" s="4">
        <v>0.52200000000000002</v>
      </c>
      <c r="M337" s="2">
        <v>-2</v>
      </c>
      <c r="N337" s="4">
        <v>0.70399999999999996</v>
      </c>
      <c r="O337" s="8">
        <f>Table1[[#This Row],[PT MARGIN]]/Table1[[#This Row],[G]]</f>
        <v>-2.4863013698630136</v>
      </c>
    </row>
    <row r="338" spans="1:15" hidden="1" x14ac:dyDescent="0.2">
      <c r="A338" s="1">
        <v>234</v>
      </c>
      <c r="B338" s="2" t="s">
        <v>350</v>
      </c>
      <c r="C338" s="2" t="str">
        <f>IF(COUNTIF($X$3:$X$20,B338)&gt;0,$X$2,
 IF(COUNTIF($Y$3:$Y$20,B338)&gt;0,$Y$2,
 IF(COUNTIF($Z$3:$Z$20,B338)&gt;0,$Z$2,
 IF(COUNTIF($AA$3:$AA$20,B338)&gt;0,$AA$2,
 IF(COUNTIF($AB$3:$AB$20,B338)&gt;0,$AB$2,
 IF(COUNTIF($AC$3:$AC$20,B338)&gt;0,$AC$2,
 IF(COUNTIF($AD$3:$AD$20,B338)&gt;0,$AD$2,
 "Not Found")))))))</f>
        <v>Not Found</v>
      </c>
      <c r="D338" s="2" t="s">
        <v>10</v>
      </c>
      <c r="E338" s="2" t="s">
        <v>11</v>
      </c>
      <c r="F338" s="2">
        <v>117</v>
      </c>
      <c r="G338" s="4">
        <v>0.25600000000000001</v>
      </c>
      <c r="H338" s="2">
        <v>-798</v>
      </c>
      <c r="I338" s="2">
        <v>94.3</v>
      </c>
      <c r="J338" s="2">
        <v>103.9</v>
      </c>
      <c r="K338" s="4">
        <v>0.51400000000000001</v>
      </c>
      <c r="L338" s="4">
        <v>0.55500000000000005</v>
      </c>
      <c r="M338" s="2">
        <v>339</v>
      </c>
      <c r="N338" s="4">
        <v>0.69899999999999995</v>
      </c>
      <c r="O338" s="8">
        <f>Table1[[#This Row],[PT MARGIN]]/Table1[[#This Row],[G]]</f>
        <v>-6.8205128205128203</v>
      </c>
    </row>
    <row r="339" spans="1:15" hidden="1" x14ac:dyDescent="0.2">
      <c r="A339" s="1">
        <v>327</v>
      </c>
      <c r="B339" s="2" t="s">
        <v>257</v>
      </c>
      <c r="C339" s="2" t="str">
        <f>IF(COUNTIF($X$3:$X$20,B339)&gt;0,$X$2,
 IF(COUNTIF($Y$3:$Y$20,B339)&gt;0,$Y$2,
 IF(COUNTIF($Z$3:$Z$20,B339)&gt;0,$Z$2,
 IF(COUNTIF($AA$3:$AA$20,B339)&gt;0,$AA$2,
 IF(COUNTIF($AB$3:$AB$20,B339)&gt;0,$AB$2,
 IF(COUNTIF($AC$3:$AC$20,B339)&gt;0,$AC$2,
 IF(COUNTIF($AD$3:$AD$20,B339)&gt;0,$AD$2,
 "Not Found")))))))</f>
        <v>Not Found</v>
      </c>
      <c r="D339" s="2" t="s">
        <v>10</v>
      </c>
      <c r="E339" s="2" t="s">
        <v>11</v>
      </c>
      <c r="F339" s="2">
        <v>135</v>
      </c>
      <c r="G339" s="4">
        <v>0.222</v>
      </c>
      <c r="H339" s="2">
        <v>-1424</v>
      </c>
      <c r="I339" s="2">
        <v>97.2</v>
      </c>
      <c r="J339" s="2">
        <v>111.5</v>
      </c>
      <c r="K339" s="4">
        <v>0.504</v>
      </c>
      <c r="L339" s="4">
        <v>0.58399999999999996</v>
      </c>
      <c r="M339" s="2">
        <v>377</v>
      </c>
      <c r="N339" s="4">
        <v>0.71799999999999997</v>
      </c>
      <c r="O339" s="8">
        <f>Table1[[#This Row],[PT MARGIN]]/Table1[[#This Row],[G]]</f>
        <v>-10.548148148148147</v>
      </c>
    </row>
    <row r="340" spans="1:15" hidden="1" x14ac:dyDescent="0.2">
      <c r="A340" s="1">
        <v>199</v>
      </c>
      <c r="B340" s="2" t="s">
        <v>215</v>
      </c>
      <c r="C340" s="2" t="str">
        <f>IF(COUNTIF($X$3:$X$20,B340)&gt;0,$X$2,
 IF(COUNTIF($Y$3:$Y$20,B340)&gt;0,$Y$2,
 IF(COUNTIF($Z$3:$Z$20,B340)&gt;0,$Z$2,
 IF(COUNTIF($AA$3:$AA$20,B340)&gt;0,$AA$2,
 IF(COUNTIF($AB$3:$AB$20,B340)&gt;0,$AB$2,
 IF(COUNTIF($AC$3:$AC$20,B340)&gt;0,$AC$2,
 IF(COUNTIF($AD$3:$AD$20,B340)&gt;0,$AD$2,
 "Not Found")))))))</f>
        <v>Not Found</v>
      </c>
      <c r="D340" s="2" t="s">
        <v>10</v>
      </c>
      <c r="E340" s="2" t="s">
        <v>11</v>
      </c>
      <c r="F340" s="2">
        <v>137</v>
      </c>
      <c r="G340" s="4">
        <v>0.32100000000000001</v>
      </c>
      <c r="H340" s="2">
        <v>-654</v>
      </c>
      <c r="I340" s="2">
        <v>97.6</v>
      </c>
      <c r="J340" s="2">
        <v>104.4</v>
      </c>
      <c r="K340" s="4">
        <v>0.52</v>
      </c>
      <c r="L340" s="4">
        <v>0.55200000000000005</v>
      </c>
      <c r="M340" s="2">
        <v>382</v>
      </c>
      <c r="N340" s="4">
        <v>0.70799999999999996</v>
      </c>
      <c r="O340" s="8">
        <f>Table1[[#This Row],[PT MARGIN]]/Table1[[#This Row],[G]]</f>
        <v>-4.773722627737226</v>
      </c>
    </row>
    <row r="341" spans="1:15" x14ac:dyDescent="0.2">
      <c r="A341" s="1">
        <v>216</v>
      </c>
      <c r="B341" s="2" t="s">
        <v>368</v>
      </c>
      <c r="C341" s="2" t="str">
        <f>IF(COUNTIF($X$3:$X$20,B341)&gt;0,$X$2,
 IF(COUNTIF($Y$3:$Y$20,B341)&gt;0,$Y$2,
 IF(COUNTIF($Z$3:$Z$20,B341)&gt;0,$Z$2,
 IF(COUNTIF($AA$3:$AA$20,B341)&gt;0,$AA$2,
 IF(COUNTIF($AB$3:$AB$20,B341)&gt;0,$AB$2,
 IF(COUNTIF($AC$3:$AC$20,B341)&gt;0,$AC$2,
 IF(COUNTIF($AD$3:$AD$20,B341)&gt;0,$AD$2,
 "Not Found")))))))</f>
        <v>SEC</v>
      </c>
      <c r="D341" s="2" t="s">
        <v>10</v>
      </c>
      <c r="E341" s="2" t="s">
        <v>11</v>
      </c>
      <c r="F341" s="2">
        <v>108</v>
      </c>
      <c r="G341" s="4">
        <v>0.25</v>
      </c>
      <c r="H341" s="2">
        <v>-720</v>
      </c>
      <c r="I341" s="2">
        <v>98</v>
      </c>
      <c r="J341" s="2">
        <v>107.5</v>
      </c>
      <c r="K341" s="4">
        <v>0.52300000000000002</v>
      </c>
      <c r="L341" s="4">
        <v>0.54900000000000004</v>
      </c>
      <c r="M341" s="2">
        <v>194</v>
      </c>
      <c r="N341" s="4">
        <v>0.71699999999999997</v>
      </c>
      <c r="O341" s="8">
        <f>Table1[[#This Row],[PT MARGIN]]/Table1[[#This Row],[G]]</f>
        <v>-6.666666666666667</v>
      </c>
    </row>
    <row r="342" spans="1:15" hidden="1" x14ac:dyDescent="0.2">
      <c r="A342" s="1">
        <v>17</v>
      </c>
      <c r="B342" s="2" t="s">
        <v>27</v>
      </c>
      <c r="C342" s="2" t="str">
        <f>IF(COUNTIF($X$3:$X$20,B342)&gt;0,$X$2,
 IF(COUNTIF($Y$3:$Y$20,B342)&gt;0,$Y$2,
 IF(COUNTIF($Z$3:$Z$20,B342)&gt;0,$Z$2,
 IF(COUNTIF($AA$3:$AA$20,B342)&gt;0,$AA$2,
 IF(COUNTIF($AB$3:$AB$20,B342)&gt;0,$AB$2,
 IF(COUNTIF($AC$3:$AC$20,B342)&gt;0,$AC$2,
 IF(COUNTIF($AD$3:$AD$20,B342)&gt;0,$AD$2,
 "Not Found")))))))</f>
        <v>Not Found</v>
      </c>
      <c r="D342" s="2" t="s">
        <v>10</v>
      </c>
      <c r="E342" s="2" t="s">
        <v>11</v>
      </c>
      <c r="F342" s="2">
        <v>104</v>
      </c>
      <c r="G342" s="4">
        <v>0.625</v>
      </c>
      <c r="H342" s="2">
        <v>227</v>
      </c>
      <c r="I342" s="2">
        <v>100.1</v>
      </c>
      <c r="J342" s="2">
        <v>97</v>
      </c>
      <c r="K342" s="4">
        <v>0.53200000000000003</v>
      </c>
      <c r="L342" s="4">
        <v>0.52500000000000002</v>
      </c>
      <c r="M342" s="2">
        <v>248</v>
      </c>
      <c r="N342" s="4">
        <v>0.72099999999999997</v>
      </c>
      <c r="O342" s="8">
        <f>Table1[[#This Row],[PT MARGIN]]/Table1[[#This Row],[G]]</f>
        <v>2.1826923076923075</v>
      </c>
    </row>
    <row r="343" spans="1:15" hidden="1" x14ac:dyDescent="0.2">
      <c r="A343" s="1">
        <v>5</v>
      </c>
      <c r="B343" s="2" t="s">
        <v>15</v>
      </c>
      <c r="C343" s="2" t="str">
        <f>IF(COUNTIF($X$3:$X$20,B343)&gt;0,$X$2,
 IF(COUNTIF($Y$3:$Y$20,B343)&gt;0,$Y$2,
 IF(COUNTIF($Z$3:$Z$20,B343)&gt;0,$Z$2,
 IF(COUNTIF($AA$3:$AA$20,B343)&gt;0,$AA$2,
 IF(COUNTIF($AB$3:$AB$20,B343)&gt;0,$AB$2,
 IF(COUNTIF($AC$3:$AC$20,B343)&gt;0,$AC$2,
 IF(COUNTIF($AD$3:$AD$20,B343)&gt;0,$AD$2,
 "Not Found")))))))</f>
        <v>Not Found</v>
      </c>
      <c r="D343" s="2" t="s">
        <v>10</v>
      </c>
      <c r="E343" s="2" t="s">
        <v>11</v>
      </c>
      <c r="F343" s="2">
        <v>140</v>
      </c>
      <c r="G343" s="4">
        <v>0.67100000000000004</v>
      </c>
      <c r="H343" s="2">
        <v>566</v>
      </c>
      <c r="I343" s="2">
        <v>104.6</v>
      </c>
      <c r="J343" s="2">
        <v>98.6</v>
      </c>
      <c r="K343" s="4">
        <v>0.55700000000000005</v>
      </c>
      <c r="L343" s="4">
        <v>0.52300000000000002</v>
      </c>
      <c r="M343" s="2">
        <v>-89</v>
      </c>
      <c r="N343" s="4">
        <v>0.71699999999999997</v>
      </c>
      <c r="O343" s="8">
        <f>Table1[[#This Row],[PT MARGIN]]/Table1[[#This Row],[G]]</f>
        <v>4.0428571428571427</v>
      </c>
    </row>
    <row r="344" spans="1:15" x14ac:dyDescent="0.2">
      <c r="A344" s="1">
        <v>9</v>
      </c>
      <c r="B344" s="2" t="s">
        <v>19</v>
      </c>
      <c r="C344" s="2" t="str">
        <f>IF(COUNTIF($X$3:$X$20,B344)&gt;0,$X$2,
 IF(COUNTIF($Y$3:$Y$20,B344)&gt;0,$Y$2,
 IF(COUNTIF($Z$3:$Z$20,B344)&gt;0,$Z$2,
 IF(COUNTIF($AA$3:$AA$20,B344)&gt;0,$AA$2,
 IF(COUNTIF($AB$3:$AB$20,B344)&gt;0,$AB$2,
 IF(COUNTIF($AC$3:$AC$20,B344)&gt;0,$AC$2,
 IF(COUNTIF($AD$3:$AD$20,B344)&gt;0,$AD$2,
 "Not Found")))))))</f>
        <v>Big East</v>
      </c>
      <c r="D344" s="2" t="s">
        <v>10</v>
      </c>
      <c r="E344" s="2" t="s">
        <v>11</v>
      </c>
      <c r="F344" s="2">
        <v>116</v>
      </c>
      <c r="G344" s="4">
        <v>0.56899999999999995</v>
      </c>
      <c r="H344" s="2">
        <v>361</v>
      </c>
      <c r="I344" s="2">
        <v>107.3</v>
      </c>
      <c r="J344" s="2">
        <v>102.7</v>
      </c>
      <c r="K344" s="4">
        <v>0.56399999999999995</v>
      </c>
      <c r="L344" s="4">
        <v>0.53500000000000003</v>
      </c>
      <c r="M344" s="2">
        <v>95</v>
      </c>
      <c r="N344" s="4">
        <v>0.73699999999999999</v>
      </c>
      <c r="O344" s="8">
        <f>Table1[[#This Row],[PT MARGIN]]/Table1[[#This Row],[G]]</f>
        <v>3.1120689655172415</v>
      </c>
    </row>
    <row r="345" spans="1:15" x14ac:dyDescent="0.2">
      <c r="A345" s="1">
        <v>25</v>
      </c>
      <c r="B345" s="2" t="s">
        <v>35</v>
      </c>
      <c r="C345" s="2" t="str">
        <f>IF(COUNTIF($X$3:$X$20,B345)&gt;0,$X$2,
 IF(COUNTIF($Y$3:$Y$20,B345)&gt;0,$Y$2,
 IF(COUNTIF($Z$3:$Z$20,B345)&gt;0,$Z$2,
 IF(COUNTIF($AA$3:$AA$20,B345)&gt;0,$AA$2,
 IF(COUNTIF($AB$3:$AB$20,B345)&gt;0,$AB$2,
 IF(COUNTIF($AC$3:$AC$20,B345)&gt;0,$AC$2,
 IF(COUNTIF($AD$3:$AD$20,B345)&gt;0,$AD$2,
 "Not Found")))))))</f>
        <v>ACC</v>
      </c>
      <c r="D345" s="2" t="s">
        <v>10</v>
      </c>
      <c r="E345" s="2" t="s">
        <v>11</v>
      </c>
      <c r="F345" s="2">
        <v>110</v>
      </c>
      <c r="G345" s="4">
        <v>0.6</v>
      </c>
      <c r="H345" s="2">
        <v>162</v>
      </c>
      <c r="I345" s="2">
        <v>103.5</v>
      </c>
      <c r="J345" s="2">
        <v>101.1</v>
      </c>
      <c r="K345" s="4">
        <v>0.54</v>
      </c>
      <c r="L345" s="4">
        <v>0.53300000000000003</v>
      </c>
      <c r="M345" s="2">
        <v>277</v>
      </c>
      <c r="N345" s="4">
        <v>0.72699999999999998</v>
      </c>
      <c r="O345" s="8">
        <f>Table1[[#This Row],[PT MARGIN]]/Table1[[#This Row],[G]]</f>
        <v>1.4727272727272727</v>
      </c>
    </row>
    <row r="346" spans="1:15" x14ac:dyDescent="0.2">
      <c r="A346" s="1">
        <v>126</v>
      </c>
      <c r="B346" s="2" t="s">
        <v>142</v>
      </c>
      <c r="C346" s="2" t="str">
        <f>IF(COUNTIF($X$3:$X$20,B346)&gt;0,$X$2,
 IF(COUNTIF($Y$3:$Y$20,B346)&gt;0,$Y$2,
 IF(COUNTIF($Z$3:$Z$20,B346)&gt;0,$Z$2,
 IF(COUNTIF($AA$3:$AA$20,B346)&gt;0,$AA$2,
 IF(COUNTIF($AB$3:$AB$20,B346)&gt;0,$AB$2,
 IF(COUNTIF($AC$3:$AC$20,B346)&gt;0,$AC$2,
 IF(COUNTIF($AD$3:$AD$20,B346)&gt;0,$AD$2,
 "Not Found")))))))</f>
        <v>ACC</v>
      </c>
      <c r="D346" s="2" t="s">
        <v>10</v>
      </c>
      <c r="E346" s="2" t="s">
        <v>11</v>
      </c>
      <c r="F346" s="2">
        <v>102</v>
      </c>
      <c r="G346" s="4">
        <v>0.40200000000000002</v>
      </c>
      <c r="H346" s="2">
        <v>-403</v>
      </c>
      <c r="I346" s="2">
        <v>100.6</v>
      </c>
      <c r="J346" s="2">
        <v>106.4</v>
      </c>
      <c r="K346" s="4">
        <v>0.54500000000000004</v>
      </c>
      <c r="L346" s="4">
        <v>0.55000000000000004</v>
      </c>
      <c r="M346" s="2">
        <v>133</v>
      </c>
      <c r="N346" s="4">
        <v>0.73</v>
      </c>
      <c r="O346" s="8">
        <f>Table1[[#This Row],[PT MARGIN]]/Table1[[#This Row],[G]]</f>
        <v>-3.9509803921568629</v>
      </c>
    </row>
    <row r="347" spans="1:15" hidden="1" x14ac:dyDescent="0.2">
      <c r="A347" s="1">
        <v>354</v>
      </c>
      <c r="B347" s="2" t="s">
        <v>230</v>
      </c>
      <c r="C347" s="2" t="str">
        <f>IF(COUNTIF($X$3:$X$20,B347)&gt;0,$X$2,
 IF(COUNTIF($Y$3:$Y$20,B347)&gt;0,$Y$2,
 IF(COUNTIF($Z$3:$Z$20,B347)&gt;0,$Z$2,
 IF(COUNTIF($AA$3:$AA$20,B347)&gt;0,$AA$2,
 IF(COUNTIF($AB$3:$AB$20,B347)&gt;0,$AB$2,
 IF(COUNTIF($AC$3:$AC$20,B347)&gt;0,$AC$2,
 IF(COUNTIF($AD$3:$AD$20,B347)&gt;0,$AD$2,
 "Not Found")))))))</f>
        <v>Not Found</v>
      </c>
      <c r="D347" s="2" t="s">
        <v>10</v>
      </c>
      <c r="E347" s="2" t="s">
        <v>11</v>
      </c>
      <c r="F347" s="2">
        <v>145</v>
      </c>
      <c r="G347" s="4">
        <v>0.152</v>
      </c>
      <c r="H347" s="2">
        <v>-1857</v>
      </c>
      <c r="I347" s="2">
        <v>94.9</v>
      </c>
      <c r="J347" s="2">
        <v>112.9</v>
      </c>
      <c r="K347" s="4">
        <v>0.51600000000000001</v>
      </c>
      <c r="L347" s="4">
        <v>0.57499999999999996</v>
      </c>
      <c r="M347" s="2">
        <v>323</v>
      </c>
      <c r="N347" s="4">
        <v>0.70899999999999996</v>
      </c>
      <c r="O347" s="8">
        <f>Table1[[#This Row],[PT MARGIN]]/Table1[[#This Row],[G]]</f>
        <v>-12.806896551724138</v>
      </c>
    </row>
    <row r="348" spans="1:15" hidden="1" x14ac:dyDescent="0.2">
      <c r="A348" s="1">
        <v>132</v>
      </c>
      <c r="B348" s="2" t="s">
        <v>148</v>
      </c>
      <c r="C348" s="2" t="str">
        <f>IF(COUNTIF($X$3:$X$20,B348)&gt;0,$X$2,
 IF(COUNTIF($Y$3:$Y$20,B348)&gt;0,$Y$2,
 IF(COUNTIF($Z$3:$Z$20,B348)&gt;0,$Z$2,
 IF(COUNTIF($AA$3:$AA$20,B348)&gt;0,$AA$2,
 IF(COUNTIF($AB$3:$AB$20,B348)&gt;0,$AB$2,
 IF(COUNTIF($AC$3:$AC$20,B348)&gt;0,$AC$2,
 IF(COUNTIF($AD$3:$AD$20,B348)&gt;0,$AD$2,
 "Not Found")))))))</f>
        <v>Not Found</v>
      </c>
      <c r="D348" s="2" t="s">
        <v>10</v>
      </c>
      <c r="E348" s="2" t="s">
        <v>11</v>
      </c>
      <c r="F348" s="2">
        <v>145</v>
      </c>
      <c r="G348" s="4">
        <v>0.46200000000000002</v>
      </c>
      <c r="H348" s="2">
        <v>-425</v>
      </c>
      <c r="I348" s="2">
        <v>96.7</v>
      </c>
      <c r="J348" s="2">
        <v>101</v>
      </c>
      <c r="K348" s="4">
        <v>0.49099999999999999</v>
      </c>
      <c r="L348" s="4">
        <v>0.54100000000000004</v>
      </c>
      <c r="M348" s="2">
        <v>489</v>
      </c>
      <c r="N348" s="4">
        <v>0.70099999999999996</v>
      </c>
      <c r="O348" s="8">
        <f>Table1[[#This Row],[PT MARGIN]]/Table1[[#This Row],[G]]</f>
        <v>-2.9310344827586206</v>
      </c>
    </row>
    <row r="349" spans="1:15" x14ac:dyDescent="0.2">
      <c r="A349" s="1">
        <v>200</v>
      </c>
      <c r="B349" s="2" t="s">
        <v>216</v>
      </c>
      <c r="C349" s="2" t="str">
        <f>IF(COUNTIF($X$3:$X$20,B349)&gt;0,$X$2,
 IF(COUNTIF($Y$3:$Y$20,B349)&gt;0,$Y$2,
 IF(COUNTIF($Z$3:$Z$20,B349)&gt;0,$Z$2,
 IF(COUNTIF($AA$3:$AA$20,B349)&gt;0,$AA$2,
 IF(COUNTIF($AB$3:$AB$20,B349)&gt;0,$AB$2,
 IF(COUNTIF($AC$3:$AC$20,B349)&gt;0,$AC$2,
 IF(COUNTIF($AD$3:$AD$20,B349)&gt;0,$AD$2,
 "Not Found")))))))</f>
        <v>ACC</v>
      </c>
      <c r="D349" s="2" t="s">
        <v>10</v>
      </c>
      <c r="E349" s="2" t="s">
        <v>11</v>
      </c>
      <c r="F349" s="2">
        <v>114</v>
      </c>
      <c r="G349" s="4">
        <v>0.27200000000000002</v>
      </c>
      <c r="H349" s="2">
        <v>-668</v>
      </c>
      <c r="I349" s="2">
        <v>99.9</v>
      </c>
      <c r="J349" s="2">
        <v>108.1</v>
      </c>
      <c r="K349" s="4">
        <v>0.53100000000000003</v>
      </c>
      <c r="L349" s="4">
        <v>0.55800000000000005</v>
      </c>
      <c r="M349" s="2">
        <v>245</v>
      </c>
      <c r="N349" s="4">
        <v>0.73399999999999999</v>
      </c>
      <c r="O349" s="8">
        <f>Table1[[#This Row],[PT MARGIN]]/Table1[[#This Row],[G]]</f>
        <v>-5.8596491228070171</v>
      </c>
    </row>
    <row r="350" spans="1:15" x14ac:dyDescent="0.2">
      <c r="A350" s="1">
        <v>222</v>
      </c>
      <c r="B350" s="2" t="s">
        <v>362</v>
      </c>
      <c r="C350" s="2" t="str">
        <f>IF(COUNTIF($X$3:$X$20,B350)&gt;0,$X$2,
 IF(COUNTIF($Y$3:$Y$20,B350)&gt;0,$Y$2,
 IF(COUNTIF($Z$3:$Z$20,B350)&gt;0,$Z$2,
 IF(COUNTIF($AA$3:$AA$20,B350)&gt;0,$AA$2,
 IF(COUNTIF($AB$3:$AB$20,B350)&gt;0,$AB$2,
 IF(COUNTIF($AC$3:$AC$20,B350)&gt;0,$AC$2,
 IF(COUNTIF($AD$3:$AD$20,B350)&gt;0,$AD$2,
 "Not Found")))))))</f>
        <v>Big 10</v>
      </c>
      <c r="D350" s="2" t="s">
        <v>10</v>
      </c>
      <c r="E350" s="2" t="s">
        <v>11</v>
      </c>
      <c r="F350" s="2">
        <v>104</v>
      </c>
      <c r="G350" s="4">
        <v>0.29799999999999999</v>
      </c>
      <c r="H350" s="2">
        <v>-736</v>
      </c>
      <c r="I350" s="2">
        <v>97.3</v>
      </c>
      <c r="J350" s="2">
        <v>107.1</v>
      </c>
      <c r="K350" s="4">
        <v>0.52200000000000002</v>
      </c>
      <c r="L350" s="4">
        <v>0.55100000000000005</v>
      </c>
      <c r="M350" s="2">
        <v>206</v>
      </c>
      <c r="N350" s="4">
        <v>0.71199999999999997</v>
      </c>
      <c r="O350" s="8">
        <f>Table1[[#This Row],[PT MARGIN]]/Table1[[#This Row],[G]]</f>
        <v>-7.0769230769230766</v>
      </c>
    </row>
    <row r="351" spans="1:15" hidden="1" x14ac:dyDescent="0.2">
      <c r="A351" s="1">
        <v>226</v>
      </c>
      <c r="B351" s="2" t="s">
        <v>358</v>
      </c>
      <c r="C351" s="2" t="str">
        <f>IF(COUNTIF($X$3:$X$20,B351)&gt;0,$X$2,
 IF(COUNTIF($Y$3:$Y$20,B351)&gt;0,$Y$2,
 IF(COUNTIF($Z$3:$Z$20,B351)&gt;0,$Z$2,
 IF(COUNTIF($AA$3:$AA$20,B351)&gt;0,$AA$2,
 IF(COUNTIF($AB$3:$AB$20,B351)&gt;0,$AB$2,
 IF(COUNTIF($AC$3:$AC$20,B351)&gt;0,$AC$2,
 IF(COUNTIF($AD$3:$AD$20,B351)&gt;0,$AD$2,
 "Not Found")))))))</f>
        <v>Not Found</v>
      </c>
      <c r="D351" s="2" t="s">
        <v>10</v>
      </c>
      <c r="E351" s="2" t="s">
        <v>11</v>
      </c>
      <c r="F351" s="2">
        <v>105</v>
      </c>
      <c r="G351" s="4">
        <v>0.29499999999999998</v>
      </c>
      <c r="H351" s="2">
        <v>-774</v>
      </c>
      <c r="I351" s="2">
        <v>97.4</v>
      </c>
      <c r="J351" s="2">
        <v>107.9</v>
      </c>
      <c r="K351" s="4">
        <v>0.52500000000000002</v>
      </c>
      <c r="L351" s="4">
        <v>0.55700000000000005</v>
      </c>
      <c r="M351" s="2">
        <v>196</v>
      </c>
      <c r="N351" s="4">
        <v>0.72099999999999997</v>
      </c>
      <c r="O351" s="8">
        <f>Table1[[#This Row],[PT MARGIN]]/Table1[[#This Row],[G]]</f>
        <v>-7.371428571428571</v>
      </c>
    </row>
    <row r="352" spans="1:15" hidden="1" x14ac:dyDescent="0.2">
      <c r="A352" s="1">
        <v>106</v>
      </c>
      <c r="B352" s="2" t="s">
        <v>121</v>
      </c>
      <c r="C352" s="2" t="str">
        <f>IF(COUNTIF($X$3:$X$20,B352)&gt;0,$X$2,
 IF(COUNTIF($Y$3:$Y$20,B352)&gt;0,$Y$2,
 IF(COUNTIF($Z$3:$Z$20,B352)&gt;0,$Z$2,
 IF(COUNTIF($AA$3:$AA$20,B352)&gt;0,$AA$2,
 IF(COUNTIF($AB$3:$AB$20,B352)&gt;0,$AB$2,
 IF(COUNTIF($AC$3:$AC$20,B352)&gt;0,$AC$2,
 IF(COUNTIF($AD$3:$AD$20,B352)&gt;0,$AD$2,
 "Not Found")))))))</f>
        <v>Not Found</v>
      </c>
      <c r="D352" s="2" t="s">
        <v>10</v>
      </c>
      <c r="E352" s="2" t="s">
        <v>11</v>
      </c>
      <c r="F352" s="2">
        <v>131</v>
      </c>
      <c r="G352" s="4">
        <v>0.46600000000000003</v>
      </c>
      <c r="H352" s="2">
        <v>-340</v>
      </c>
      <c r="I352" s="2">
        <v>102.1</v>
      </c>
      <c r="J352" s="2">
        <v>105.9</v>
      </c>
      <c r="K352" s="4">
        <v>0.56200000000000006</v>
      </c>
      <c r="L352" s="4">
        <v>0.55700000000000005</v>
      </c>
      <c r="M352" s="2">
        <v>-58</v>
      </c>
      <c r="N352" s="4">
        <v>0.70699999999999996</v>
      </c>
      <c r="O352" s="8">
        <f>Table1[[#This Row],[PT MARGIN]]/Table1[[#This Row],[G]]</f>
        <v>-2.5954198473282442</v>
      </c>
    </row>
    <row r="353" spans="1:15" hidden="1" x14ac:dyDescent="0.2">
      <c r="A353" s="1">
        <v>84</v>
      </c>
      <c r="B353" s="2" t="s">
        <v>96</v>
      </c>
      <c r="C353" s="2" t="str">
        <f>IF(COUNTIF($X$3:$X$20,B353)&gt;0,$X$2,
 IF(COUNTIF($Y$3:$Y$20,B353)&gt;0,$Y$2,
 IF(COUNTIF($Z$3:$Z$20,B353)&gt;0,$Z$2,
 IF(COUNTIF($AA$3:$AA$20,B353)&gt;0,$AA$2,
 IF(COUNTIF($AB$3:$AB$20,B353)&gt;0,$AB$2,
 IF(COUNTIF($AC$3:$AC$20,B353)&gt;0,$AC$2,
 IF(COUNTIF($AD$3:$AD$20,B353)&gt;0,$AD$2,
 "Not Found")))))))</f>
        <v>Not Found</v>
      </c>
      <c r="D353" s="2" t="s">
        <v>11</v>
      </c>
      <c r="E353" s="2" t="s">
        <v>11</v>
      </c>
      <c r="F353" s="2">
        <v>17</v>
      </c>
      <c r="G353" s="4">
        <v>0.11799999999999999</v>
      </c>
      <c r="H353" s="2">
        <v>-230</v>
      </c>
      <c r="I353" s="2">
        <v>94.8</v>
      </c>
      <c r="J353" s="2">
        <v>113.9</v>
      </c>
      <c r="K353" s="4">
        <v>0.499</v>
      </c>
      <c r="L353" s="4">
        <v>0.6</v>
      </c>
      <c r="M353" s="2">
        <v>-1</v>
      </c>
      <c r="N353" s="4">
        <v>0.68500000000000005</v>
      </c>
      <c r="O353" s="8">
        <f>Table1[[#This Row],[PT MARGIN]]/Table1[[#This Row],[G]]</f>
        <v>-13.529411764705882</v>
      </c>
    </row>
    <row r="354" spans="1:15" x14ac:dyDescent="0.2">
      <c r="A354" s="1">
        <v>145</v>
      </c>
      <c r="B354" s="2" t="s">
        <v>161</v>
      </c>
      <c r="C354" s="2" t="str">
        <f>IF(COUNTIF($X$3:$X$20,B354)&gt;0,$X$2,
 IF(COUNTIF($Y$3:$Y$20,B354)&gt;0,$Y$2,
 IF(COUNTIF($Z$3:$Z$20,B354)&gt;0,$Z$2,
 IF(COUNTIF($AA$3:$AA$20,B354)&gt;0,$AA$2,
 IF(COUNTIF($AB$3:$AB$20,B354)&gt;0,$AB$2,
 IF(COUNTIF($AC$3:$AC$20,B354)&gt;0,$AC$2,
 IF(COUNTIF($AD$3:$AD$20,B354)&gt;0,$AD$2,
 "Not Found")))))))</f>
        <v>Big 12</v>
      </c>
      <c r="D354" s="2" t="s">
        <v>10</v>
      </c>
      <c r="E354" s="2" t="s">
        <v>11</v>
      </c>
      <c r="F354" s="2">
        <v>104</v>
      </c>
      <c r="G354" s="4">
        <v>0.35599999999999998</v>
      </c>
      <c r="H354" s="2">
        <v>-477</v>
      </c>
      <c r="I354" s="2">
        <v>99.2</v>
      </c>
      <c r="J354" s="2">
        <v>105.7</v>
      </c>
      <c r="K354" s="4">
        <v>0.51600000000000001</v>
      </c>
      <c r="L354" s="4">
        <v>0.56799999999999995</v>
      </c>
      <c r="M354" s="2">
        <v>207</v>
      </c>
      <c r="N354" s="4">
        <v>0.73199999999999998</v>
      </c>
      <c r="O354" s="8">
        <f>Table1[[#This Row],[PT MARGIN]]/Table1[[#This Row],[G]]</f>
        <v>-4.5865384615384617</v>
      </c>
    </row>
    <row r="355" spans="1:15" hidden="1" x14ac:dyDescent="0.2">
      <c r="A355" s="1">
        <v>335</v>
      </c>
      <c r="B355" s="2" t="s">
        <v>249</v>
      </c>
      <c r="C355" s="2" t="str">
        <f>IF(COUNTIF($X$3:$X$20,B355)&gt;0,$X$2,
 IF(COUNTIF($Y$3:$Y$20,B355)&gt;0,$Y$2,
 IF(COUNTIF($Z$3:$Z$20,B355)&gt;0,$Z$2,
 IF(COUNTIF($AA$3:$AA$20,B355)&gt;0,$AA$2,
 IF(COUNTIF($AB$3:$AB$20,B355)&gt;0,$AB$2,
 IF(COUNTIF($AC$3:$AC$20,B355)&gt;0,$AC$2,
 IF(COUNTIF($AD$3:$AD$20,B355)&gt;0,$AD$2,
 "Not Found")))))))</f>
        <v>Not Found</v>
      </c>
      <c r="D355" s="2" t="s">
        <v>10</v>
      </c>
      <c r="E355" s="2" t="s">
        <v>11</v>
      </c>
      <c r="F355" s="2">
        <v>155</v>
      </c>
      <c r="G355" s="4">
        <v>0.27700000000000002</v>
      </c>
      <c r="H355" s="2">
        <v>-1519</v>
      </c>
      <c r="I355" s="2">
        <v>94.9</v>
      </c>
      <c r="J355" s="2">
        <v>108.5</v>
      </c>
      <c r="K355" s="4">
        <v>0.51</v>
      </c>
      <c r="L355" s="4">
        <v>0.56000000000000005</v>
      </c>
      <c r="M355" s="2">
        <v>326</v>
      </c>
      <c r="N355" s="4">
        <v>0.71099999999999997</v>
      </c>
      <c r="O355" s="8">
        <f>Table1[[#This Row],[PT MARGIN]]/Table1[[#This Row],[G]]</f>
        <v>-9.8000000000000007</v>
      </c>
    </row>
    <row r="356" spans="1:15" hidden="1" x14ac:dyDescent="0.2">
      <c r="A356" s="1">
        <v>307</v>
      </c>
      <c r="B356" s="2" t="s">
        <v>277</v>
      </c>
      <c r="C356" s="2" t="str">
        <f>IF(COUNTIF($X$3:$X$20,B356)&gt;0,$X$2,
 IF(COUNTIF($Y$3:$Y$20,B356)&gt;0,$Y$2,
 IF(COUNTIF($Z$3:$Z$20,B356)&gt;0,$Z$2,
 IF(COUNTIF($AA$3:$AA$20,B356)&gt;0,$AA$2,
 IF(COUNTIF($AB$3:$AB$20,B356)&gt;0,$AB$2,
 IF(COUNTIF($AC$3:$AC$20,B356)&gt;0,$AC$2,
 IF(COUNTIF($AD$3:$AD$20,B356)&gt;0,$AD$2,
 "Not Found")))))))</f>
        <v>Not Found</v>
      </c>
      <c r="D356" s="2" t="s">
        <v>10</v>
      </c>
      <c r="E356" s="2" t="s">
        <v>11</v>
      </c>
      <c r="F356" s="2">
        <v>140</v>
      </c>
      <c r="G356" s="4">
        <v>0.28599999999999998</v>
      </c>
      <c r="H356" s="2">
        <v>-1216</v>
      </c>
      <c r="I356" s="2">
        <v>96.6</v>
      </c>
      <c r="J356" s="2">
        <v>108.9</v>
      </c>
      <c r="K356" s="4">
        <v>0.51300000000000001</v>
      </c>
      <c r="L356" s="4">
        <v>0.55900000000000005</v>
      </c>
      <c r="M356" s="2">
        <v>265</v>
      </c>
      <c r="N356" s="4">
        <v>0.73199999999999998</v>
      </c>
      <c r="O356" s="8">
        <f>Table1[[#This Row],[PT MARGIN]]/Table1[[#This Row],[G]]</f>
        <v>-8.6857142857142851</v>
      </c>
    </row>
    <row r="357" spans="1:15" hidden="1" x14ac:dyDescent="0.2">
      <c r="A357" s="1">
        <v>111</v>
      </c>
      <c r="B357" s="2" t="s">
        <v>126</v>
      </c>
      <c r="C357" s="2" t="str">
        <f>IF(COUNTIF($X$3:$X$20,B357)&gt;0,$X$2,
 IF(COUNTIF($Y$3:$Y$20,B357)&gt;0,$Y$2,
 IF(COUNTIF($Z$3:$Z$20,B357)&gt;0,$Z$2,
 IF(COUNTIF($AA$3:$AA$20,B357)&gt;0,$AA$2,
 IF(COUNTIF($AB$3:$AB$20,B357)&gt;0,$AB$2,
 IF(COUNTIF($AC$3:$AC$20,B357)&gt;0,$AC$2,
 IF(COUNTIF($AD$3:$AD$20,B357)&gt;0,$AD$2,
 "Not Found")))))))</f>
        <v>Not Found</v>
      </c>
      <c r="D357" s="2" t="s">
        <v>10</v>
      </c>
      <c r="E357" s="2" t="s">
        <v>11</v>
      </c>
      <c r="F357" s="2">
        <v>125</v>
      </c>
      <c r="G357" s="4">
        <v>0.40799999999999997</v>
      </c>
      <c r="H357" s="2">
        <v>-352</v>
      </c>
      <c r="I357" s="2">
        <v>99.3</v>
      </c>
      <c r="J357" s="2">
        <v>103.2</v>
      </c>
      <c r="K357" s="4">
        <v>0.53400000000000003</v>
      </c>
      <c r="L357" s="4">
        <v>0.53600000000000003</v>
      </c>
      <c r="M357" s="2">
        <v>19</v>
      </c>
      <c r="N357" s="4">
        <v>0.70499999999999996</v>
      </c>
      <c r="O357" s="8">
        <f>Table1[[#This Row],[PT MARGIN]]/Table1[[#This Row],[G]]</f>
        <v>-2.8159999999999998</v>
      </c>
    </row>
    <row r="358" spans="1:15" hidden="1" x14ac:dyDescent="0.2">
      <c r="A358" s="1">
        <v>321</v>
      </c>
      <c r="B358" s="2" t="s">
        <v>263</v>
      </c>
      <c r="C358" s="2" t="str">
        <f>IF(COUNTIF($X$3:$X$20,B358)&gt;0,$X$2,
 IF(COUNTIF($Y$3:$Y$20,B358)&gt;0,$Y$2,
 IF(COUNTIF($Z$3:$Z$20,B358)&gt;0,$Z$2,
 IF(COUNTIF($AA$3:$AA$20,B358)&gt;0,$AA$2,
 IF(COUNTIF($AB$3:$AB$20,B358)&gt;0,$AB$2,
 IF(COUNTIF($AC$3:$AC$20,B358)&gt;0,$AC$2,
 IF(COUNTIF($AD$3:$AD$20,B358)&gt;0,$AD$2,
 "Not Found")))))))</f>
        <v>Not Found</v>
      </c>
      <c r="D358" s="2" t="s">
        <v>10</v>
      </c>
      <c r="E358" s="2" t="s">
        <v>11</v>
      </c>
      <c r="F358" s="2">
        <v>139</v>
      </c>
      <c r="G358" s="4">
        <v>0.223</v>
      </c>
      <c r="H358" s="2">
        <v>-1344</v>
      </c>
      <c r="I358" s="2">
        <v>96.1</v>
      </c>
      <c r="J358" s="2">
        <v>110</v>
      </c>
      <c r="K358" s="4">
        <v>0.50700000000000001</v>
      </c>
      <c r="L358" s="4">
        <v>0.56699999999999995</v>
      </c>
      <c r="M358" s="2">
        <v>161</v>
      </c>
      <c r="N358" s="4">
        <v>0.69899999999999995</v>
      </c>
      <c r="O358" s="8">
        <f>Table1[[#This Row],[PT MARGIN]]/Table1[[#This Row],[G]]</f>
        <v>-9.6690647482014391</v>
      </c>
    </row>
    <row r="359" spans="1:15" hidden="1" x14ac:dyDescent="0.2">
      <c r="A359" s="1">
        <v>21</v>
      </c>
      <c r="B359" s="2" t="s">
        <v>31</v>
      </c>
      <c r="C359" s="2" t="str">
        <f>IF(COUNTIF($X$3:$X$20,B359)&gt;0,$X$2,
 IF(COUNTIF($Y$3:$Y$20,B359)&gt;0,$Y$2,
 IF(COUNTIF($Z$3:$Z$20,B359)&gt;0,$Z$2,
 IF(COUNTIF($AA$3:$AA$20,B359)&gt;0,$AA$2,
 IF(COUNTIF($AB$3:$AB$20,B359)&gt;0,$AB$2,
 IF(COUNTIF($AC$3:$AC$20,B359)&gt;0,$AC$2,
 IF(COUNTIF($AD$3:$AD$20,B359)&gt;0,$AD$2,
 "Not Found")))))))</f>
        <v>Not Found</v>
      </c>
      <c r="D359" s="2" t="s">
        <v>10</v>
      </c>
      <c r="E359" s="2" t="s">
        <v>11</v>
      </c>
      <c r="F359" s="2">
        <v>103</v>
      </c>
      <c r="G359" s="4">
        <v>0.56299999999999994</v>
      </c>
      <c r="H359" s="2">
        <v>211</v>
      </c>
      <c r="I359" s="2">
        <v>101.3</v>
      </c>
      <c r="J359" s="2">
        <v>98.4</v>
      </c>
      <c r="K359" s="4">
        <v>0.52500000000000002</v>
      </c>
      <c r="L359" s="4">
        <v>0.52100000000000002</v>
      </c>
      <c r="M359" s="2">
        <v>119</v>
      </c>
      <c r="N359" s="4">
        <v>0.72399999999999998</v>
      </c>
      <c r="O359" s="8">
        <f>Table1[[#This Row],[PT MARGIN]]/Table1[[#This Row],[G]]</f>
        <v>2.0485436893203883</v>
      </c>
    </row>
    <row r="360" spans="1:15" hidden="1" x14ac:dyDescent="0.2">
      <c r="A360" s="1">
        <v>279</v>
      </c>
      <c r="B360" s="2" t="s">
        <v>305</v>
      </c>
      <c r="C360" s="2" t="str">
        <f>IF(COUNTIF($X$3:$X$20,B360)&gt;0,$X$2,
 IF(COUNTIF($Y$3:$Y$20,B360)&gt;0,$Y$2,
 IF(COUNTIF($Z$3:$Z$20,B360)&gt;0,$Z$2,
 IF(COUNTIF($AA$3:$AA$20,B360)&gt;0,$AA$2,
 IF(COUNTIF($AB$3:$AB$20,B360)&gt;0,$AB$2,
 IF(COUNTIF($AC$3:$AC$20,B360)&gt;0,$AC$2,
 IF(COUNTIF($AD$3:$AD$20,B360)&gt;0,$AD$2,
 "Not Found")))))))</f>
        <v>Not Found</v>
      </c>
      <c r="D360" s="2" t="s">
        <v>10</v>
      </c>
      <c r="E360" s="2" t="s">
        <v>11</v>
      </c>
      <c r="F360" s="2">
        <v>148</v>
      </c>
      <c r="G360" s="4">
        <v>0.30399999999999999</v>
      </c>
      <c r="H360" s="2">
        <v>-1027</v>
      </c>
      <c r="I360" s="2">
        <v>99.1</v>
      </c>
      <c r="J360" s="2">
        <v>109</v>
      </c>
      <c r="K360" s="4">
        <v>0.53900000000000003</v>
      </c>
      <c r="L360" s="4">
        <v>0.55600000000000005</v>
      </c>
      <c r="M360" s="2">
        <v>129</v>
      </c>
      <c r="N360" s="4">
        <v>0.72399999999999998</v>
      </c>
      <c r="O360" s="8">
        <f>Table1[[#This Row],[PT MARGIN]]/Table1[[#This Row],[G]]</f>
        <v>-6.9391891891891895</v>
      </c>
    </row>
    <row r="361" spans="1:15" hidden="1" x14ac:dyDescent="0.2">
      <c r="A361" s="1">
        <v>30</v>
      </c>
      <c r="B361" s="2" t="s">
        <v>40</v>
      </c>
      <c r="C361" s="2" t="str">
        <f>IF(COUNTIF($X$3:$X$20,B361)&gt;0,$X$2,
 IF(COUNTIF($Y$3:$Y$20,B361)&gt;0,$Y$2,
 IF(COUNTIF($Z$3:$Z$20,B361)&gt;0,$Z$2,
 IF(COUNTIF($AA$3:$AA$20,B361)&gt;0,$AA$2,
 IF(COUNTIF($AB$3:$AB$20,B361)&gt;0,$AB$2,
 IF(COUNTIF($AC$3:$AC$20,B361)&gt;0,$AC$2,
 IF(COUNTIF($AD$3:$AD$20,B361)&gt;0,$AD$2,
 "Not Found")))))))</f>
        <v>Not Found</v>
      </c>
      <c r="D361" s="2" t="s">
        <v>10</v>
      </c>
      <c r="E361" s="2" t="s">
        <v>11</v>
      </c>
      <c r="F361" s="2">
        <v>142</v>
      </c>
      <c r="G361" s="4">
        <v>0.52800000000000002</v>
      </c>
      <c r="H361" s="2">
        <v>113</v>
      </c>
      <c r="I361" s="2">
        <v>105.5</v>
      </c>
      <c r="J361" s="2">
        <v>104.4</v>
      </c>
      <c r="K361" s="4">
        <v>0.56499999999999995</v>
      </c>
      <c r="L361" s="4">
        <v>0.55000000000000004</v>
      </c>
      <c r="M361" s="2">
        <v>-78</v>
      </c>
      <c r="N361" s="4">
        <v>0.72099999999999997</v>
      </c>
      <c r="O361" s="8">
        <f>Table1[[#This Row],[PT MARGIN]]/Table1[[#This Row],[G]]</f>
        <v>0.79577464788732399</v>
      </c>
    </row>
    <row r="362" spans="1:15" x14ac:dyDescent="0.2">
      <c r="A362" s="1">
        <v>67</v>
      </c>
      <c r="B362" s="2" t="s">
        <v>78</v>
      </c>
      <c r="C362" s="2" t="str">
        <f>IF(COUNTIF($X$3:$X$20,B362)&gt;0,$X$2,
 IF(COUNTIF($Y$3:$Y$20,B362)&gt;0,$Y$2,
 IF(COUNTIF($Z$3:$Z$20,B362)&gt;0,$Z$2,
 IF(COUNTIF($AA$3:$AA$20,B362)&gt;0,$AA$2,
 IF(COUNTIF($AB$3:$AB$20,B362)&gt;0,$AB$2,
 IF(COUNTIF($AC$3:$AC$20,B362)&gt;0,$AC$2,
 IF(COUNTIF($AD$3:$AD$20,B362)&gt;0,$AD$2,
 "Not Found")))))))</f>
        <v>Big 10</v>
      </c>
      <c r="D362" s="2" t="s">
        <v>10</v>
      </c>
      <c r="E362" s="2" t="s">
        <v>11</v>
      </c>
      <c r="F362" s="2">
        <v>113</v>
      </c>
      <c r="G362" s="4">
        <v>0.496</v>
      </c>
      <c r="H362" s="2">
        <v>-134</v>
      </c>
      <c r="I362" s="2">
        <v>101</v>
      </c>
      <c r="J362" s="2">
        <v>102.7</v>
      </c>
      <c r="K362" s="4">
        <v>0.52</v>
      </c>
      <c r="L362" s="4">
        <v>0.53200000000000003</v>
      </c>
      <c r="M362" s="2">
        <v>68</v>
      </c>
      <c r="N362" s="4">
        <v>0.71099999999999997</v>
      </c>
      <c r="O362" s="8">
        <f>Table1[[#This Row],[PT MARGIN]]/Table1[[#This Row],[G]]</f>
        <v>-1.1858407079646018</v>
      </c>
    </row>
    <row r="363" spans="1:15" hidden="1" x14ac:dyDescent="0.2">
      <c r="A363" s="1">
        <v>89</v>
      </c>
      <c r="B363" s="2" t="s">
        <v>101</v>
      </c>
      <c r="C363" s="2" t="str">
        <f>IF(COUNTIF($X$3:$X$20,B363)&gt;0,$X$2,
 IF(COUNTIF($Y$3:$Y$20,B363)&gt;0,$Y$2,
 IF(COUNTIF($Z$3:$Z$20,B363)&gt;0,$Z$2,
 IF(COUNTIF($AA$3:$AA$20,B363)&gt;0,$AA$2,
 IF(COUNTIF($AB$3:$AB$20,B363)&gt;0,$AB$2,
 IF(COUNTIF($AC$3:$AC$20,B363)&gt;0,$AC$2,
 IF(COUNTIF($AD$3:$AD$20,B363)&gt;0,$AD$2,
 "Not Found")))))))</f>
        <v>Not Found</v>
      </c>
      <c r="D363" s="2" t="s">
        <v>10</v>
      </c>
      <c r="E363" s="2" t="s">
        <v>11</v>
      </c>
      <c r="F363" s="2">
        <v>147</v>
      </c>
      <c r="G363" s="4">
        <v>0.42899999999999999</v>
      </c>
      <c r="H363" s="2">
        <v>-254</v>
      </c>
      <c r="I363" s="2">
        <v>103.5</v>
      </c>
      <c r="J363" s="2">
        <v>106</v>
      </c>
      <c r="K363" s="4">
        <v>0.54300000000000004</v>
      </c>
      <c r="L363" s="4">
        <v>0.56200000000000006</v>
      </c>
      <c r="M363" s="2">
        <v>227</v>
      </c>
      <c r="N363" s="4">
        <v>0.70899999999999996</v>
      </c>
      <c r="O363" s="8">
        <f>Table1[[#This Row],[PT MARGIN]]/Table1[[#This Row],[G]]</f>
        <v>-1.727891156462585</v>
      </c>
    </row>
    <row r="364" spans="1:15" hidden="1" x14ac:dyDescent="0.2">
      <c r="A364" s="1">
        <v>38</v>
      </c>
      <c r="B364" s="2" t="s">
        <v>48</v>
      </c>
      <c r="C364" s="2" t="str">
        <f>IF(COUNTIF($X$3:$X$20,B364)&gt;0,$X$2,
 IF(COUNTIF($Y$3:$Y$20,B364)&gt;0,$Y$2,
 IF(COUNTIF($Z$3:$Z$20,B364)&gt;0,$Z$2,
 IF(COUNTIF($AA$3:$AA$20,B364)&gt;0,$AA$2,
 IF(COUNTIF($AB$3:$AB$20,B364)&gt;0,$AB$2,
 IF(COUNTIF($AC$3:$AC$20,B364)&gt;0,$AC$2,
 IF(COUNTIF($AD$3:$AD$20,B364)&gt;0,$AD$2,
 "Not Found")))))))</f>
        <v>Not Found</v>
      </c>
      <c r="D364" s="2" t="s">
        <v>10</v>
      </c>
      <c r="E364" s="2" t="s">
        <v>11</v>
      </c>
      <c r="F364" s="2">
        <v>134</v>
      </c>
      <c r="G364" s="4">
        <v>0.50700000000000001</v>
      </c>
      <c r="H364" s="2">
        <v>29</v>
      </c>
      <c r="I364" s="2">
        <v>103.8</v>
      </c>
      <c r="J364" s="2">
        <v>103.5</v>
      </c>
      <c r="K364" s="4">
        <v>0.54800000000000004</v>
      </c>
      <c r="L364" s="4">
        <v>0.54700000000000004</v>
      </c>
      <c r="M364" s="2">
        <v>-2</v>
      </c>
      <c r="N364" s="4">
        <v>0.71299999999999997</v>
      </c>
      <c r="O364" s="8">
        <f>Table1[[#This Row],[PT MARGIN]]/Table1[[#This Row],[G]]</f>
        <v>0.21641791044776118</v>
      </c>
    </row>
    <row r="365" spans="1:15" hidden="1" x14ac:dyDescent="0.2">
      <c r="A365" s="1">
        <v>245</v>
      </c>
      <c r="B365" s="2" t="s">
        <v>339</v>
      </c>
      <c r="C365" s="2" t="str">
        <f>IF(COUNTIF($X$3:$X$20,B365)&gt;0,$X$2,
 IF(COUNTIF($Y$3:$Y$20,B365)&gt;0,$Y$2,
 IF(COUNTIF($Z$3:$Z$20,B365)&gt;0,$Z$2,
 IF(COUNTIF($AA$3:$AA$20,B365)&gt;0,$AA$2,
 IF(COUNTIF($AB$3:$AB$20,B365)&gt;0,$AB$2,
 IF(COUNTIF($AC$3:$AC$20,B365)&gt;0,$AC$2,
 IF(COUNTIF($AD$3:$AD$20,B365)&gt;0,$AD$2,
 "Not Found")))))))</f>
        <v>Not Found</v>
      </c>
      <c r="D365" s="2" t="s">
        <v>10</v>
      </c>
      <c r="E365" s="2" t="s">
        <v>11</v>
      </c>
      <c r="F365" s="2">
        <v>116</v>
      </c>
      <c r="G365" s="4">
        <v>0.30199999999999999</v>
      </c>
      <c r="H365" s="2">
        <v>-860</v>
      </c>
      <c r="I365" s="2">
        <v>96.3</v>
      </c>
      <c r="J365" s="2">
        <v>106.9</v>
      </c>
      <c r="K365" s="4">
        <v>0.53100000000000003</v>
      </c>
      <c r="L365" s="4">
        <v>0.55500000000000005</v>
      </c>
      <c r="M365" s="2">
        <v>43</v>
      </c>
      <c r="N365" s="4">
        <v>0.72399999999999998</v>
      </c>
      <c r="O365" s="8">
        <f>Table1[[#This Row],[PT MARGIN]]/Table1[[#This Row],[G]]</f>
        <v>-7.4137931034482758</v>
      </c>
    </row>
    <row r="366" spans="1:15" x14ac:dyDescent="0.2">
      <c r="A366" s="1">
        <v>71</v>
      </c>
      <c r="B366" s="2" t="s">
        <v>82</v>
      </c>
      <c r="C366" s="2" t="str">
        <f>IF(COUNTIF($X$3:$X$20,B366)&gt;0,$X$2,
 IF(COUNTIF($Y$3:$Y$20,B366)&gt;0,$Y$2,
 IF(COUNTIF($Z$3:$Z$20,B366)&gt;0,$Z$2,
 IF(COUNTIF($AA$3:$AA$20,B366)&gt;0,$AA$2,
 IF(COUNTIF($AB$3:$AB$20,B366)&gt;0,$AB$2,
 IF(COUNTIF($AC$3:$AC$20,B366)&gt;0,$AC$2,
 IF(COUNTIF($AD$3:$AD$20,B366)&gt;0,$AD$2,
 "Not Found")))))))</f>
        <v>Big East</v>
      </c>
      <c r="D366" s="2" t="s">
        <v>10</v>
      </c>
      <c r="E366" s="2" t="s">
        <v>11</v>
      </c>
      <c r="F366" s="2">
        <v>107</v>
      </c>
      <c r="G366" s="4">
        <v>0.47699999999999998</v>
      </c>
      <c r="H366" s="2">
        <v>-156</v>
      </c>
      <c r="I366" s="2">
        <v>102.5</v>
      </c>
      <c r="J366" s="2">
        <v>104.6</v>
      </c>
      <c r="K366" s="4">
        <v>0.53900000000000003</v>
      </c>
      <c r="L366" s="4">
        <v>0.54500000000000004</v>
      </c>
      <c r="M366" s="2">
        <v>-4</v>
      </c>
      <c r="N366" s="4">
        <v>0.73</v>
      </c>
      <c r="O366" s="8">
        <f>Table1[[#This Row],[PT MARGIN]]/Table1[[#This Row],[G]]</f>
        <v>-1.4579439252336448</v>
      </c>
    </row>
    <row r="367" spans="1:15" hidden="1" x14ac:dyDescent="0.2">
      <c r="A367" s="1">
        <v>15</v>
      </c>
      <c r="B367" s="2" t="s">
        <v>25</v>
      </c>
      <c r="C367" s="2" t="str">
        <f t="shared" ref="C322:C368" si="1">IF(COUNTIF($X$3:$X$20,B367)&gt;0,$X$2,
 IF(COUNTIF($Y$3:$Y$20,B367)&gt;0,$Y$2,
 IF(COUNTIF($Z$3:$Z$20,B367)&gt;0,$Z$2,
 IF(COUNTIF($AA$3:$AA$20,B367)&gt;0,$AA$2,
 IF(COUNTIF($AB$3:$AB$20,B367)&gt;0,$AB$2,
 IF(COUNTIF($AC$3:$AC$20,B367)&gt;0,$AC$2,
 IF(COUNTIF($AD$3:$AD$20,B367)&gt;0,$AD$2,
 "Not Found")))))))</f>
        <v>Not Found</v>
      </c>
      <c r="D367" s="2" t="s">
        <v>10</v>
      </c>
      <c r="E367" s="2" t="s">
        <v>11</v>
      </c>
      <c r="F367" s="2">
        <v>131</v>
      </c>
      <c r="G367" s="4">
        <v>0.55000000000000004</v>
      </c>
      <c r="H367" s="2">
        <v>256</v>
      </c>
      <c r="I367" s="2">
        <v>103.3</v>
      </c>
      <c r="J367" s="2">
        <v>100.5</v>
      </c>
      <c r="K367" s="4">
        <v>0.54700000000000004</v>
      </c>
      <c r="L367" s="4">
        <v>0.52400000000000002</v>
      </c>
      <c r="M367" s="2">
        <v>-18</v>
      </c>
      <c r="N367" s="4">
        <v>0.72799999999999998</v>
      </c>
      <c r="O367" s="8">
        <f>Table1[[#This Row],[PT MARGIN]]/Table1[[#This Row],[G]]</f>
        <v>1.9541984732824427</v>
      </c>
    </row>
    <row r="368" spans="1:15" hidden="1" x14ac:dyDescent="0.2">
      <c r="A368" s="1">
        <v>240</v>
      </c>
      <c r="B368" s="2" t="s">
        <v>344</v>
      </c>
      <c r="C368" s="2" t="str">
        <f t="shared" si="1"/>
        <v>Not Found</v>
      </c>
      <c r="D368" s="2" t="s">
        <v>10</v>
      </c>
      <c r="E368" s="2" t="s">
        <v>11</v>
      </c>
      <c r="F368" s="2">
        <v>143</v>
      </c>
      <c r="G368" s="4">
        <v>0.38500000000000001</v>
      </c>
      <c r="H368" s="2">
        <v>-829</v>
      </c>
      <c r="I368" s="2">
        <v>100.1</v>
      </c>
      <c r="J368" s="2">
        <v>108.1</v>
      </c>
      <c r="K368" s="4">
        <v>0.51700000000000002</v>
      </c>
      <c r="L368" s="4">
        <v>0.56200000000000006</v>
      </c>
      <c r="M368" s="2">
        <v>322</v>
      </c>
      <c r="N368" s="4">
        <v>0.70799999999999996</v>
      </c>
      <c r="O368" s="8">
        <f>Table1[[#This Row],[PT MARGIN]]/Table1[[#This Row],[G]]</f>
        <v>-5.7972027972027975</v>
      </c>
    </row>
  </sheetData>
  <pageMargins left="0.75" right="0.75" top="1" bottom="1" header="0.5" footer="0.5"/>
  <legacy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2730-1D49-9548-AF31-C685B6A610FD}">
  <dimension ref="A1:W78"/>
  <sheetViews>
    <sheetView zoomScale="71" workbookViewId="0">
      <selection activeCell="W19" sqref="W19:Z20"/>
    </sheetView>
  </sheetViews>
  <sheetFormatPr baseColWidth="10" defaultRowHeight="16" x14ac:dyDescent="0.2"/>
  <cols>
    <col min="3" max="3" width="13.1640625" customWidth="1"/>
    <col min="4" max="4" width="13.83203125" style="5" customWidth="1"/>
    <col min="5" max="5" width="13.6640625" style="5" customWidth="1"/>
    <col min="6" max="6" width="21.6640625" style="6" customWidth="1"/>
    <col min="7" max="7" width="21.5" style="6" customWidth="1"/>
    <col min="9" max="9" width="12.33203125" customWidth="1"/>
    <col min="11" max="11" width="12.33203125" customWidth="1"/>
    <col min="12" max="12" width="10.83203125" style="5"/>
    <col min="13" max="13" width="11.5" style="5" customWidth="1"/>
    <col min="14" max="14" width="10.83203125" style="5"/>
    <col min="15" max="15" width="15.5" style="5" customWidth="1"/>
    <col min="16" max="16" width="11.1640625" style="6" customWidth="1"/>
    <col min="17" max="17" width="15.83203125" style="6" customWidth="1"/>
    <col min="18" max="18" width="10.83203125" style="5"/>
    <col min="19" max="19" width="15.5" style="5" customWidth="1"/>
    <col min="21" max="21" width="16.5" customWidth="1"/>
    <col min="22" max="22" width="16.5" style="6" customWidth="1"/>
    <col min="23" max="23" width="16.83203125" style="5" customWidth="1"/>
  </cols>
  <sheetData>
    <row r="1" spans="1:23" x14ac:dyDescent="0.2">
      <c r="A1" t="s">
        <v>409</v>
      </c>
      <c r="B1" t="s">
        <v>1</v>
      </c>
      <c r="C1" t="s">
        <v>405</v>
      </c>
      <c r="D1" s="5" t="s">
        <v>394</v>
      </c>
      <c r="E1" s="5" t="s">
        <v>411</v>
      </c>
      <c r="F1" s="6" t="s">
        <v>395</v>
      </c>
      <c r="G1" s="6" t="s">
        <v>396</v>
      </c>
      <c r="H1" t="s">
        <v>4</v>
      </c>
      <c r="I1" t="s">
        <v>413</v>
      </c>
      <c r="J1" t="s">
        <v>5</v>
      </c>
      <c r="K1" t="s">
        <v>414</v>
      </c>
      <c r="L1" s="5" t="s">
        <v>6</v>
      </c>
      <c r="M1" s="5" t="s">
        <v>415</v>
      </c>
      <c r="N1" s="5" t="s">
        <v>385</v>
      </c>
      <c r="O1" s="5" t="s">
        <v>416</v>
      </c>
      <c r="P1" s="6" t="s">
        <v>410</v>
      </c>
      <c r="Q1" s="6" t="s">
        <v>417</v>
      </c>
      <c r="R1" s="5" t="s">
        <v>387</v>
      </c>
      <c r="S1" s="5" t="s">
        <v>419</v>
      </c>
      <c r="T1" s="6" t="s">
        <v>420</v>
      </c>
      <c r="U1" s="5" t="s">
        <v>412</v>
      </c>
      <c r="V1"/>
      <c r="W1"/>
    </row>
    <row r="2" spans="1:23" x14ac:dyDescent="0.2">
      <c r="A2">
        <v>68</v>
      </c>
      <c r="B2" t="s">
        <v>205</v>
      </c>
      <c r="C2" t="s">
        <v>398</v>
      </c>
      <c r="D2" s="5">
        <v>0.75600000000000001</v>
      </c>
      <c r="E2" s="5">
        <v>0.318</v>
      </c>
      <c r="F2" s="6">
        <v>12.643750000000001</v>
      </c>
      <c r="G2" s="6">
        <v>-5.8130841121495331</v>
      </c>
      <c r="H2">
        <v>111.3</v>
      </c>
      <c r="I2">
        <v>99</v>
      </c>
      <c r="J2">
        <v>93.5</v>
      </c>
      <c r="K2">
        <v>107.4</v>
      </c>
      <c r="L2" s="5">
        <v>0.57799999999999996</v>
      </c>
      <c r="M2" s="5">
        <v>0.52800000000000002</v>
      </c>
      <c r="N2" s="5">
        <v>0.48899999999999999</v>
      </c>
      <c r="O2" s="5">
        <v>0.55200000000000005</v>
      </c>
      <c r="P2" s="6">
        <v>-2.9437500000000001</v>
      </c>
      <c r="Q2" s="6">
        <v>3.6728971962616823</v>
      </c>
      <c r="R2" s="5">
        <v>0.69599999999999995</v>
      </c>
      <c r="S2" s="5">
        <v>0.71199999999999997</v>
      </c>
      <c r="T2" s="6">
        <v>18.456834112149533</v>
      </c>
      <c r="U2" s="5">
        <v>0.438</v>
      </c>
      <c r="V2"/>
      <c r="W2"/>
    </row>
    <row r="3" spans="1:23" x14ac:dyDescent="0.2">
      <c r="A3">
        <v>27</v>
      </c>
      <c r="B3" t="s">
        <v>200</v>
      </c>
      <c r="C3" t="s">
        <v>398</v>
      </c>
      <c r="D3" s="5">
        <v>0.74099999999999999</v>
      </c>
      <c r="E3" s="5">
        <v>0.29899999999999999</v>
      </c>
      <c r="F3" s="6">
        <v>12.006172839506172</v>
      </c>
      <c r="G3" s="6">
        <v>-5.6448598130841123</v>
      </c>
      <c r="H3">
        <v>108.1</v>
      </c>
      <c r="I3">
        <v>99.6</v>
      </c>
      <c r="J3">
        <v>91.1</v>
      </c>
      <c r="K3">
        <v>107.6</v>
      </c>
      <c r="L3" s="5">
        <v>0.56599999999999995</v>
      </c>
      <c r="M3" s="5">
        <v>0.52500000000000002</v>
      </c>
      <c r="N3" s="5">
        <v>0.5</v>
      </c>
      <c r="O3" s="5">
        <v>0.56200000000000006</v>
      </c>
      <c r="P3" s="6">
        <v>-1.9074074074074074</v>
      </c>
      <c r="Q3" s="6">
        <v>3.6728971962616823</v>
      </c>
      <c r="R3" s="5">
        <v>0.70499999999999996</v>
      </c>
      <c r="S3" s="5">
        <v>0.72399999999999998</v>
      </c>
      <c r="T3" s="6">
        <v>17.651032652590285</v>
      </c>
      <c r="U3" s="5">
        <v>0.442</v>
      </c>
      <c r="V3"/>
      <c r="W3"/>
    </row>
    <row r="4" spans="1:23" x14ac:dyDescent="0.2">
      <c r="A4">
        <v>6</v>
      </c>
      <c r="B4" t="s">
        <v>60</v>
      </c>
      <c r="C4" t="s">
        <v>398</v>
      </c>
      <c r="D4" s="5">
        <v>0.83699999999999997</v>
      </c>
      <c r="E4" s="5">
        <v>0.52400000000000002</v>
      </c>
      <c r="F4" s="6">
        <v>16.036144578313252</v>
      </c>
      <c r="G4" s="6">
        <v>-0.22330097087378642</v>
      </c>
      <c r="H4">
        <v>114.5</v>
      </c>
      <c r="I4">
        <v>104.6</v>
      </c>
      <c r="J4">
        <v>91.5</v>
      </c>
      <c r="K4">
        <v>104.9</v>
      </c>
      <c r="L4" s="5">
        <v>0.57499999999999996</v>
      </c>
      <c r="M4" s="5">
        <v>0.53700000000000003</v>
      </c>
      <c r="N4" s="5">
        <v>0.5</v>
      </c>
      <c r="O4" s="5">
        <v>0.54700000000000004</v>
      </c>
      <c r="P4" s="6">
        <v>-2.6445783132530121</v>
      </c>
      <c r="Q4" s="6">
        <v>3.8155339805825244</v>
      </c>
      <c r="R4" s="5">
        <v>0.68799999999999994</v>
      </c>
      <c r="S4" s="5">
        <v>0.70799999999999996</v>
      </c>
      <c r="T4" s="6">
        <v>16.259445549187038</v>
      </c>
      <c r="U4" s="5">
        <v>0.31299999999999994</v>
      </c>
      <c r="V4"/>
      <c r="W4"/>
    </row>
    <row r="5" spans="1:23" x14ac:dyDescent="0.2">
      <c r="A5">
        <v>26</v>
      </c>
      <c r="B5" t="s">
        <v>133</v>
      </c>
      <c r="C5" t="s">
        <v>399</v>
      </c>
      <c r="D5" s="5">
        <v>0.78400000000000003</v>
      </c>
      <c r="E5" s="5">
        <v>0.37</v>
      </c>
      <c r="F5" s="6">
        <v>12.850299401197605</v>
      </c>
      <c r="G5" s="6">
        <v>-3.3611111111111112</v>
      </c>
      <c r="H5">
        <v>116.8</v>
      </c>
      <c r="I5">
        <v>105.4</v>
      </c>
      <c r="J5">
        <v>99.2</v>
      </c>
      <c r="K5">
        <v>110.2</v>
      </c>
      <c r="L5" s="5">
        <v>0.58499999999999996</v>
      </c>
      <c r="M5" s="5">
        <v>0.53200000000000003</v>
      </c>
      <c r="N5" s="5">
        <v>0.51900000000000002</v>
      </c>
      <c r="O5" s="5">
        <v>0.56499999999999995</v>
      </c>
      <c r="P5" s="6">
        <v>-4.6526946107784433</v>
      </c>
      <c r="Q5" s="6">
        <v>3.6388888888888888</v>
      </c>
      <c r="R5" s="5">
        <v>0.68799999999999994</v>
      </c>
      <c r="S5" s="5">
        <v>0.71299999999999997</v>
      </c>
      <c r="T5" s="6">
        <v>16.211410512308717</v>
      </c>
      <c r="U5" s="5">
        <v>0.41400000000000003</v>
      </c>
      <c r="V5"/>
      <c r="W5"/>
    </row>
    <row r="6" spans="1:23" x14ac:dyDescent="0.2">
      <c r="A6">
        <v>65</v>
      </c>
      <c r="B6" t="s">
        <v>75</v>
      </c>
      <c r="C6" t="s">
        <v>398</v>
      </c>
      <c r="D6" s="5">
        <v>0.84499999999999997</v>
      </c>
      <c r="E6" s="5">
        <v>0.40799999999999997</v>
      </c>
      <c r="F6" s="6">
        <v>15.235632183908047</v>
      </c>
      <c r="G6" s="6">
        <v>-0.95918367346938771</v>
      </c>
      <c r="H6">
        <v>112.1</v>
      </c>
      <c r="I6">
        <v>101.3</v>
      </c>
      <c r="J6">
        <v>90.1</v>
      </c>
      <c r="K6">
        <v>102.7</v>
      </c>
      <c r="L6" s="5">
        <v>0.58199999999999996</v>
      </c>
      <c r="M6" s="5">
        <v>0.53500000000000003</v>
      </c>
      <c r="N6" s="5">
        <v>0.495</v>
      </c>
      <c r="O6" s="5">
        <v>0.53500000000000003</v>
      </c>
      <c r="P6" s="6">
        <v>-4.2528735632183912</v>
      </c>
      <c r="Q6" s="6">
        <v>4.0102040816326534</v>
      </c>
      <c r="R6" s="5">
        <v>0.68300000000000005</v>
      </c>
      <c r="S6" s="5">
        <v>0.70499999999999996</v>
      </c>
      <c r="T6" s="6">
        <v>16.194815857377435</v>
      </c>
      <c r="U6" s="5">
        <v>0.437</v>
      </c>
      <c r="V6"/>
      <c r="W6"/>
    </row>
    <row r="7" spans="1:23" x14ac:dyDescent="0.2">
      <c r="A7">
        <v>61</v>
      </c>
      <c r="B7" t="s">
        <v>352</v>
      </c>
      <c r="C7" t="s">
        <v>398</v>
      </c>
      <c r="D7" s="5">
        <v>0.70599999999999996</v>
      </c>
      <c r="E7" s="5">
        <v>0.28199999999999997</v>
      </c>
      <c r="F7" s="6">
        <v>8.4705882352941178</v>
      </c>
      <c r="G7" s="6">
        <v>-7.70873786407767</v>
      </c>
      <c r="H7">
        <v>106.4</v>
      </c>
      <c r="I7">
        <v>97.5</v>
      </c>
      <c r="J7">
        <v>94.4</v>
      </c>
      <c r="K7">
        <v>108.5</v>
      </c>
      <c r="L7" s="5">
        <v>0.54900000000000004</v>
      </c>
      <c r="M7" s="5">
        <v>0.51600000000000001</v>
      </c>
      <c r="N7" s="5">
        <v>0.51</v>
      </c>
      <c r="O7" s="5">
        <v>0.56499999999999995</v>
      </c>
      <c r="P7" s="6">
        <v>-2.5764705882352943</v>
      </c>
      <c r="Q7" s="6">
        <v>3.8155339805825244</v>
      </c>
      <c r="R7" s="5">
        <v>0.68700000000000006</v>
      </c>
      <c r="S7" s="5">
        <v>0.73499999999999999</v>
      </c>
      <c r="T7" s="6">
        <v>16.179326099371789</v>
      </c>
      <c r="U7" s="5">
        <v>0.42399999999999999</v>
      </c>
      <c r="V7"/>
      <c r="W7"/>
    </row>
    <row r="8" spans="1:23" x14ac:dyDescent="0.2">
      <c r="A8">
        <v>47</v>
      </c>
      <c r="B8" t="s">
        <v>202</v>
      </c>
      <c r="C8" t="s">
        <v>401</v>
      </c>
      <c r="D8" s="5">
        <v>0.73499999999999999</v>
      </c>
      <c r="E8" s="5">
        <v>0.311</v>
      </c>
      <c r="F8" s="6">
        <v>10.361290322580645</v>
      </c>
      <c r="G8" s="6">
        <v>-5.7641509433962268</v>
      </c>
      <c r="H8">
        <v>108.3</v>
      </c>
      <c r="I8">
        <v>99</v>
      </c>
      <c r="J8">
        <v>93.8</v>
      </c>
      <c r="K8">
        <v>107.2</v>
      </c>
      <c r="L8" s="5">
        <v>0.57299999999999995</v>
      </c>
      <c r="M8" s="5">
        <v>0.52800000000000002</v>
      </c>
      <c r="N8" s="5">
        <v>0.496</v>
      </c>
      <c r="O8" s="5">
        <v>0.54800000000000004</v>
      </c>
      <c r="P8" s="6">
        <v>-2.9870967741935486</v>
      </c>
      <c r="Q8" s="6">
        <v>3.7075471698113209</v>
      </c>
      <c r="R8" s="5">
        <v>0.69199999999999995</v>
      </c>
      <c r="S8" s="5">
        <v>0.72599999999999998</v>
      </c>
      <c r="T8" s="6">
        <v>16.125441265976871</v>
      </c>
      <c r="U8" s="5">
        <v>0.42399999999999999</v>
      </c>
      <c r="V8"/>
      <c r="W8"/>
    </row>
    <row r="9" spans="1:23" x14ac:dyDescent="0.2">
      <c r="A9">
        <v>75</v>
      </c>
      <c r="B9" t="s">
        <v>161</v>
      </c>
      <c r="C9" t="s">
        <v>398</v>
      </c>
      <c r="D9" s="5">
        <v>0.74399999999999999</v>
      </c>
      <c r="E9" s="5">
        <v>0.35599999999999998</v>
      </c>
      <c r="F9" s="6">
        <v>11.524390243902438</v>
      </c>
      <c r="G9" s="6">
        <v>-4.5865384615384617</v>
      </c>
      <c r="H9">
        <v>109.3</v>
      </c>
      <c r="I9">
        <v>99.2</v>
      </c>
      <c r="J9">
        <v>93.2</v>
      </c>
      <c r="K9">
        <v>105.7</v>
      </c>
      <c r="L9" s="5">
        <v>0.54400000000000004</v>
      </c>
      <c r="M9" s="5">
        <v>0.51600000000000001</v>
      </c>
      <c r="N9" s="5">
        <v>0.51200000000000001</v>
      </c>
      <c r="O9" s="5">
        <v>0.56799999999999995</v>
      </c>
      <c r="P9" s="6">
        <v>-3.5060975609756095</v>
      </c>
      <c r="Q9" s="6">
        <v>3.7788461538461537</v>
      </c>
      <c r="R9" s="5">
        <v>0.69699999999999995</v>
      </c>
      <c r="S9" s="5">
        <v>0.73199999999999998</v>
      </c>
      <c r="T9" s="6">
        <v>16.110928705440898</v>
      </c>
      <c r="U9" s="5">
        <v>0.38800000000000001</v>
      </c>
      <c r="V9"/>
      <c r="W9"/>
    </row>
    <row r="10" spans="1:23" x14ac:dyDescent="0.2">
      <c r="A10">
        <v>54</v>
      </c>
      <c r="B10" t="s">
        <v>304</v>
      </c>
      <c r="C10" t="s">
        <v>399</v>
      </c>
      <c r="D10" s="5">
        <v>0.68</v>
      </c>
      <c r="E10" s="5">
        <v>0.23899999999999999</v>
      </c>
      <c r="F10" s="6">
        <v>6.9314285714285715</v>
      </c>
      <c r="G10" s="6">
        <v>-9.0973451327433636</v>
      </c>
      <c r="H10">
        <v>100.9</v>
      </c>
      <c r="I10">
        <v>93.8</v>
      </c>
      <c r="J10">
        <v>91</v>
      </c>
      <c r="K10">
        <v>107</v>
      </c>
      <c r="L10" s="5">
        <v>0.51</v>
      </c>
      <c r="M10" s="5">
        <v>0.48799999999999999</v>
      </c>
      <c r="N10" s="5">
        <v>0.48499999999999999</v>
      </c>
      <c r="O10" s="5">
        <v>0.55400000000000005</v>
      </c>
      <c r="P10" s="6">
        <v>-2.7657142857142856</v>
      </c>
      <c r="Q10" s="6">
        <v>3.4778761061946901</v>
      </c>
      <c r="R10" s="5">
        <v>0.67400000000000004</v>
      </c>
      <c r="S10" s="5">
        <v>0.72199999999999998</v>
      </c>
      <c r="T10" s="6">
        <v>16.028773704171936</v>
      </c>
      <c r="U10" s="5">
        <v>0.44100000000000006</v>
      </c>
      <c r="V10"/>
      <c r="W10"/>
    </row>
    <row r="11" spans="1:23" x14ac:dyDescent="0.2">
      <c r="A11">
        <v>53</v>
      </c>
      <c r="B11" t="s">
        <v>33</v>
      </c>
      <c r="C11" t="s">
        <v>399</v>
      </c>
      <c r="D11" s="5">
        <v>0.90600000000000003</v>
      </c>
      <c r="E11" s="5">
        <v>0.55100000000000005</v>
      </c>
      <c r="F11" s="6">
        <v>17.706250000000001</v>
      </c>
      <c r="G11" s="6">
        <v>1.7102803738317758</v>
      </c>
      <c r="H11">
        <v>117.9</v>
      </c>
      <c r="I11">
        <v>104.7</v>
      </c>
      <c r="J11">
        <v>92.3</v>
      </c>
      <c r="K11">
        <v>102.1</v>
      </c>
      <c r="L11" s="5">
        <v>0.59599999999999997</v>
      </c>
      <c r="M11" s="5">
        <v>0.53900000000000003</v>
      </c>
      <c r="N11" s="5">
        <v>0.48899999999999999</v>
      </c>
      <c r="O11" s="5">
        <v>0.53300000000000003</v>
      </c>
      <c r="P11" s="6">
        <v>-4.6749999999999998</v>
      </c>
      <c r="Q11" s="6">
        <v>3.6728971962616823</v>
      </c>
      <c r="R11" s="5">
        <v>0.70299999999999996</v>
      </c>
      <c r="S11" s="5">
        <v>0.72099999999999997</v>
      </c>
      <c r="T11" s="6">
        <v>15.995969626168225</v>
      </c>
      <c r="U11" s="5">
        <v>0.35499999999999998</v>
      </c>
      <c r="V11"/>
      <c r="W11"/>
    </row>
    <row r="12" spans="1:23" x14ac:dyDescent="0.2">
      <c r="A12">
        <v>25</v>
      </c>
      <c r="B12" t="s">
        <v>169</v>
      </c>
      <c r="C12" t="s">
        <v>399</v>
      </c>
      <c r="D12" s="5">
        <v>0.76900000000000002</v>
      </c>
      <c r="E12" s="5">
        <v>0.33</v>
      </c>
      <c r="F12" s="6">
        <v>11.208092485549132</v>
      </c>
      <c r="G12" s="6">
        <v>-4.6981132075471699</v>
      </c>
      <c r="H12">
        <v>110.5</v>
      </c>
      <c r="I12">
        <v>99.1</v>
      </c>
      <c r="J12">
        <v>94.6</v>
      </c>
      <c r="K12">
        <v>105.8</v>
      </c>
      <c r="L12" s="5">
        <v>0.57499999999999996</v>
      </c>
      <c r="M12" s="5">
        <v>0.52300000000000002</v>
      </c>
      <c r="N12" s="5">
        <v>0.503</v>
      </c>
      <c r="O12" s="5">
        <v>0.54200000000000004</v>
      </c>
      <c r="P12" s="6">
        <v>-2.2138728323699421</v>
      </c>
      <c r="Q12" s="6">
        <v>3.7075471698113209</v>
      </c>
      <c r="R12" s="5">
        <v>0.68400000000000005</v>
      </c>
      <c r="S12" s="5">
        <v>0.72399999999999998</v>
      </c>
      <c r="T12" s="6">
        <v>15.906205693096302</v>
      </c>
      <c r="U12" s="5">
        <v>0.439</v>
      </c>
      <c r="V12"/>
      <c r="W12"/>
    </row>
    <row r="13" spans="1:23" x14ac:dyDescent="0.2">
      <c r="A13">
        <v>72</v>
      </c>
      <c r="B13" t="s">
        <v>142</v>
      </c>
      <c r="C13" t="s">
        <v>400</v>
      </c>
      <c r="D13" s="5">
        <v>0.75600000000000001</v>
      </c>
      <c r="E13" s="5">
        <v>0.40200000000000002</v>
      </c>
      <c r="F13" s="6">
        <v>11.719512195121951</v>
      </c>
      <c r="G13" s="6">
        <v>-3.9509803921568629</v>
      </c>
      <c r="H13">
        <v>112.3</v>
      </c>
      <c r="I13">
        <v>100.6</v>
      </c>
      <c r="J13">
        <v>95.3</v>
      </c>
      <c r="K13">
        <v>106.4</v>
      </c>
      <c r="L13" s="5">
        <v>0.58599999999999997</v>
      </c>
      <c r="M13" s="5">
        <v>0.54500000000000004</v>
      </c>
      <c r="N13" s="5">
        <v>0.51</v>
      </c>
      <c r="O13" s="5">
        <v>0.55000000000000004</v>
      </c>
      <c r="P13" s="6">
        <v>-2.225609756097561</v>
      </c>
      <c r="Q13" s="6">
        <v>3.8529411764705883</v>
      </c>
      <c r="R13" s="5">
        <v>0.69899999999999995</v>
      </c>
      <c r="S13" s="5">
        <v>0.73</v>
      </c>
      <c r="T13" s="6">
        <v>15.670492587278813</v>
      </c>
      <c r="U13" s="5">
        <v>0.35399999999999998</v>
      </c>
      <c r="V13"/>
      <c r="W13"/>
    </row>
    <row r="14" spans="1:23" x14ac:dyDescent="0.2">
      <c r="A14">
        <v>46</v>
      </c>
      <c r="B14" t="s">
        <v>136</v>
      </c>
      <c r="C14" t="s">
        <v>399</v>
      </c>
      <c r="D14" s="5">
        <v>0.74299999999999999</v>
      </c>
      <c r="E14" s="5">
        <v>0.39</v>
      </c>
      <c r="F14" s="6">
        <v>11.707602339181287</v>
      </c>
      <c r="G14" s="6">
        <v>-3.5904761904761906</v>
      </c>
      <c r="H14">
        <v>111.7</v>
      </c>
      <c r="I14">
        <v>101.1</v>
      </c>
      <c r="J14">
        <v>94.7</v>
      </c>
      <c r="K14">
        <v>106.4</v>
      </c>
      <c r="L14" s="5">
        <v>0.57999999999999996</v>
      </c>
      <c r="M14" s="5">
        <v>0.52600000000000002</v>
      </c>
      <c r="N14" s="5">
        <v>0.499</v>
      </c>
      <c r="O14" s="5">
        <v>0.54300000000000004</v>
      </c>
      <c r="P14" s="6">
        <v>-2.7251461988304095</v>
      </c>
      <c r="Q14" s="6">
        <v>3.7428571428571429</v>
      </c>
      <c r="R14" s="5">
        <v>0.71699999999999997</v>
      </c>
      <c r="S14" s="5">
        <v>0.71199999999999997</v>
      </c>
      <c r="T14" s="6">
        <v>15.298078529657477</v>
      </c>
      <c r="U14" s="5">
        <v>0.35299999999999998</v>
      </c>
      <c r="V14"/>
      <c r="W14"/>
    </row>
    <row r="15" spans="1:23" x14ac:dyDescent="0.2">
      <c r="A15">
        <v>4</v>
      </c>
      <c r="B15" t="s">
        <v>129</v>
      </c>
      <c r="C15" t="s">
        <v>401</v>
      </c>
      <c r="D15" s="5">
        <v>0.80700000000000005</v>
      </c>
      <c r="E15" s="5">
        <v>0.373</v>
      </c>
      <c r="F15" s="6">
        <v>11.721590909090908</v>
      </c>
      <c r="G15" s="6">
        <v>-3.4803921568627452</v>
      </c>
      <c r="H15">
        <v>109.3</v>
      </c>
      <c r="I15">
        <v>101.6</v>
      </c>
      <c r="J15">
        <v>93.4</v>
      </c>
      <c r="K15">
        <v>106.4</v>
      </c>
      <c r="L15" s="5">
        <v>0.56499999999999995</v>
      </c>
      <c r="M15" s="5">
        <v>0.53300000000000003</v>
      </c>
      <c r="N15" s="5">
        <v>0.504</v>
      </c>
      <c r="O15" s="5">
        <v>0.55700000000000005</v>
      </c>
      <c r="P15" s="6">
        <v>-2.1761363636363638</v>
      </c>
      <c r="Q15" s="6">
        <v>3.8529411764705883</v>
      </c>
      <c r="R15" s="5">
        <v>0.69299999999999995</v>
      </c>
      <c r="S15" s="5">
        <v>0.73199999999999998</v>
      </c>
      <c r="T15" s="6">
        <v>15.201983065953653</v>
      </c>
      <c r="U15" s="5">
        <v>0.43400000000000005</v>
      </c>
      <c r="V15"/>
      <c r="W15"/>
    </row>
    <row r="16" spans="1:23" x14ac:dyDescent="0.2">
      <c r="A16">
        <v>31</v>
      </c>
      <c r="B16" t="s">
        <v>193</v>
      </c>
      <c r="C16" t="s">
        <v>401</v>
      </c>
      <c r="D16" s="5">
        <v>0.74399999999999999</v>
      </c>
      <c r="E16" s="5">
        <v>0.32</v>
      </c>
      <c r="F16" s="6">
        <v>9.4226190476190474</v>
      </c>
      <c r="G16" s="6">
        <v>-5.6893203883495147</v>
      </c>
      <c r="H16">
        <v>111</v>
      </c>
      <c r="I16">
        <v>100.6</v>
      </c>
      <c r="J16">
        <v>97.9</v>
      </c>
      <c r="K16">
        <v>108.4</v>
      </c>
      <c r="L16" s="5">
        <v>0.56999999999999995</v>
      </c>
      <c r="M16" s="5">
        <v>0.52500000000000002</v>
      </c>
      <c r="N16" s="5">
        <v>0.51500000000000001</v>
      </c>
      <c r="O16" s="5">
        <v>0.56000000000000005</v>
      </c>
      <c r="P16" s="6">
        <v>-2.0059523809523809</v>
      </c>
      <c r="Q16" s="6">
        <v>3.8155339805825244</v>
      </c>
      <c r="R16" s="5">
        <v>0.69799999999999995</v>
      </c>
      <c r="S16" s="5">
        <v>0.70099999999999996</v>
      </c>
      <c r="T16" s="6">
        <v>15.111939435968562</v>
      </c>
      <c r="U16" s="5">
        <v>0.42399999999999999</v>
      </c>
      <c r="V16"/>
      <c r="W16"/>
    </row>
    <row r="17" spans="1:23" x14ac:dyDescent="0.2">
      <c r="A17">
        <v>15</v>
      </c>
      <c r="B17" t="s">
        <v>64</v>
      </c>
      <c r="C17" t="s">
        <v>402</v>
      </c>
      <c r="D17" s="5">
        <v>0.81100000000000005</v>
      </c>
      <c r="E17" s="5">
        <v>0.504</v>
      </c>
      <c r="F17" s="6">
        <v>14.384146341463415</v>
      </c>
      <c r="G17" s="6">
        <v>-0.46902654867256638</v>
      </c>
      <c r="H17">
        <v>115.2</v>
      </c>
      <c r="I17">
        <v>102.1</v>
      </c>
      <c r="J17">
        <v>95</v>
      </c>
      <c r="K17">
        <v>102.8</v>
      </c>
      <c r="L17" s="5">
        <v>0.61</v>
      </c>
      <c r="M17" s="5">
        <v>0.54500000000000004</v>
      </c>
      <c r="N17" s="5">
        <v>0.49299999999999999</v>
      </c>
      <c r="O17" s="5">
        <v>0.52300000000000002</v>
      </c>
      <c r="P17" s="6">
        <v>-3.2865853658536586</v>
      </c>
      <c r="Q17" s="6">
        <v>3.4778761061946901</v>
      </c>
      <c r="R17" s="5">
        <v>0.7</v>
      </c>
      <c r="S17" s="5">
        <v>0.72799999999999998</v>
      </c>
      <c r="T17" s="6">
        <v>14.853172890135982</v>
      </c>
      <c r="U17" s="5">
        <v>0.30700000000000005</v>
      </c>
      <c r="V17"/>
      <c r="W17"/>
    </row>
    <row r="18" spans="1:23" x14ac:dyDescent="0.2">
      <c r="A18">
        <v>37</v>
      </c>
      <c r="B18" t="s">
        <v>42</v>
      </c>
      <c r="C18" t="s">
        <v>399</v>
      </c>
      <c r="D18" s="5">
        <v>0.86099999999999999</v>
      </c>
      <c r="E18" s="5">
        <v>0.53300000000000003</v>
      </c>
      <c r="F18" s="6">
        <v>15.487341772151899</v>
      </c>
      <c r="G18" s="6">
        <v>0.7142857142857143</v>
      </c>
      <c r="H18">
        <v>113.1</v>
      </c>
      <c r="I18">
        <v>104.5</v>
      </c>
      <c r="J18">
        <v>90.9</v>
      </c>
      <c r="K18">
        <v>103.4</v>
      </c>
      <c r="L18" s="5">
        <v>0.58099999999999996</v>
      </c>
      <c r="M18" s="5">
        <v>0.54700000000000004</v>
      </c>
      <c r="N18" s="5">
        <v>0.46899999999999997</v>
      </c>
      <c r="O18" s="5">
        <v>0.52600000000000002</v>
      </c>
      <c r="P18" s="6">
        <v>-1.7658227848101267</v>
      </c>
      <c r="Q18" s="6">
        <v>3.7428571428571429</v>
      </c>
      <c r="R18" s="5">
        <v>0.68899999999999995</v>
      </c>
      <c r="S18" s="5">
        <v>0.73899999999999999</v>
      </c>
      <c r="T18" s="6">
        <v>14.773056057866185</v>
      </c>
      <c r="U18" s="5">
        <v>0.32799999999999996</v>
      </c>
      <c r="V18"/>
    </row>
    <row r="19" spans="1:23" x14ac:dyDescent="0.2">
      <c r="A19">
        <v>13</v>
      </c>
      <c r="B19" t="s">
        <v>150</v>
      </c>
      <c r="C19" t="s">
        <v>398</v>
      </c>
      <c r="D19" s="5">
        <v>0.80600000000000005</v>
      </c>
      <c r="E19" s="5">
        <v>0.32100000000000001</v>
      </c>
      <c r="F19" s="6">
        <v>10.8375</v>
      </c>
      <c r="G19" s="6">
        <v>-3.9017857142857144</v>
      </c>
      <c r="H19">
        <v>108.9</v>
      </c>
      <c r="I19">
        <v>97.4</v>
      </c>
      <c r="J19">
        <v>93.7</v>
      </c>
      <c r="K19">
        <v>103</v>
      </c>
      <c r="L19" s="5">
        <v>0.57399999999999995</v>
      </c>
      <c r="M19" s="5">
        <v>0.51900000000000002</v>
      </c>
      <c r="N19" s="5">
        <v>0.498</v>
      </c>
      <c r="O19" s="5">
        <v>0.53900000000000003</v>
      </c>
      <c r="P19" s="6">
        <v>-4.0250000000000004</v>
      </c>
      <c r="Q19" s="6">
        <v>3.5089285714285716</v>
      </c>
      <c r="R19" s="5">
        <v>0.68700000000000006</v>
      </c>
      <c r="S19" s="5">
        <v>0.71099999999999997</v>
      </c>
      <c r="T19" s="6">
        <v>14.739285714285714</v>
      </c>
      <c r="U19" s="5">
        <v>0.48500000000000004</v>
      </c>
      <c r="V19"/>
    </row>
    <row r="20" spans="1:23" x14ac:dyDescent="0.2">
      <c r="A20">
        <v>42</v>
      </c>
      <c r="B20" t="s">
        <v>315</v>
      </c>
      <c r="C20" t="s">
        <v>399</v>
      </c>
      <c r="D20" s="5">
        <v>0.61299999999999999</v>
      </c>
      <c r="E20" s="5">
        <v>0.246</v>
      </c>
      <c r="F20" s="6">
        <v>5.958333333333333</v>
      </c>
      <c r="G20" s="6">
        <v>-8.6491228070175445</v>
      </c>
      <c r="H20">
        <v>104.2</v>
      </c>
      <c r="I20">
        <v>96.4</v>
      </c>
      <c r="J20">
        <v>95.8</v>
      </c>
      <c r="K20">
        <v>108.5</v>
      </c>
      <c r="L20" s="5">
        <v>0.53800000000000003</v>
      </c>
      <c r="M20" s="5">
        <v>0.51500000000000001</v>
      </c>
      <c r="N20" s="5">
        <v>0.499</v>
      </c>
      <c r="O20" s="5">
        <v>0.55700000000000005</v>
      </c>
      <c r="P20" s="6">
        <v>-2.9583333333333335</v>
      </c>
      <c r="Q20" s="6">
        <v>3.4473684210526314</v>
      </c>
      <c r="R20" s="5">
        <v>0.67800000000000005</v>
      </c>
      <c r="S20" s="5">
        <v>0.72099999999999997</v>
      </c>
      <c r="T20" s="6">
        <v>14.607456140350877</v>
      </c>
      <c r="U20" s="5">
        <v>0.36699999999999999</v>
      </c>
      <c r="V20"/>
    </row>
    <row r="21" spans="1:23" x14ac:dyDescent="0.2">
      <c r="A21">
        <v>40</v>
      </c>
      <c r="B21" t="s">
        <v>346</v>
      </c>
      <c r="C21" t="s">
        <v>401</v>
      </c>
      <c r="D21" s="5">
        <v>0.63900000000000001</v>
      </c>
      <c r="E21" s="5">
        <v>0.252</v>
      </c>
      <c r="F21" s="6">
        <v>6.7771084337349397</v>
      </c>
      <c r="G21" s="6">
        <v>-7.6915887850467293</v>
      </c>
      <c r="H21">
        <v>106.9</v>
      </c>
      <c r="I21">
        <v>97.5</v>
      </c>
      <c r="J21">
        <v>97.3</v>
      </c>
      <c r="K21">
        <v>108.6</v>
      </c>
      <c r="L21" s="5">
        <v>0.56000000000000005</v>
      </c>
      <c r="M21" s="5">
        <v>0.52100000000000002</v>
      </c>
      <c r="N21" s="5">
        <v>0.51600000000000001</v>
      </c>
      <c r="O21" s="5">
        <v>0.56100000000000005</v>
      </c>
      <c r="P21" s="6">
        <v>-1.3072289156626506</v>
      </c>
      <c r="Q21" s="6">
        <v>3.6728971962616823</v>
      </c>
      <c r="R21" s="5">
        <v>0.71799999999999997</v>
      </c>
      <c r="S21" s="5">
        <v>0.72699999999999998</v>
      </c>
      <c r="T21" s="6">
        <v>14.468697218781669</v>
      </c>
      <c r="U21" s="5">
        <v>0.38700000000000001</v>
      </c>
      <c r="V21"/>
    </row>
    <row r="22" spans="1:23" x14ac:dyDescent="0.2">
      <c r="A22">
        <v>62</v>
      </c>
      <c r="B22" t="s">
        <v>46</v>
      </c>
      <c r="C22" t="s">
        <v>401</v>
      </c>
      <c r="D22" s="5">
        <v>0.84699999999999998</v>
      </c>
      <c r="E22" s="5">
        <v>0.48599999999999999</v>
      </c>
      <c r="F22" s="6">
        <v>14.938650306748466</v>
      </c>
      <c r="G22" s="6">
        <v>0.48598130841121495</v>
      </c>
      <c r="H22">
        <v>110.3</v>
      </c>
      <c r="I22">
        <v>102.9</v>
      </c>
      <c r="J22">
        <v>89</v>
      </c>
      <c r="K22">
        <v>102.2</v>
      </c>
      <c r="L22" s="5">
        <v>0.55800000000000005</v>
      </c>
      <c r="M22" s="5">
        <v>0.53400000000000003</v>
      </c>
      <c r="N22" s="5">
        <v>0.47899999999999998</v>
      </c>
      <c r="O22" s="5">
        <v>0.52900000000000003</v>
      </c>
      <c r="P22" s="6">
        <v>-3.1349693251533743</v>
      </c>
      <c r="Q22" s="6">
        <v>3.6728971962616823</v>
      </c>
      <c r="R22" s="5">
        <v>0.69099999999999995</v>
      </c>
      <c r="S22" s="5">
        <v>0.71299999999999997</v>
      </c>
      <c r="T22" s="6">
        <v>14.45266899833725</v>
      </c>
      <c r="U22" s="5">
        <v>0.36099999999999999</v>
      </c>
      <c r="V22"/>
    </row>
    <row r="23" spans="1:23" x14ac:dyDescent="0.2">
      <c r="A23">
        <v>19</v>
      </c>
      <c r="B23" t="s">
        <v>157</v>
      </c>
      <c r="C23" t="s">
        <v>400</v>
      </c>
      <c r="D23" s="5">
        <v>0.77600000000000002</v>
      </c>
      <c r="E23" s="5">
        <v>0.39</v>
      </c>
      <c r="F23" s="6">
        <v>10.089743589743589</v>
      </c>
      <c r="G23" s="6">
        <v>-4.3142857142857141</v>
      </c>
      <c r="H23">
        <v>110</v>
      </c>
      <c r="I23">
        <v>100.3</v>
      </c>
      <c r="J23">
        <v>96.2</v>
      </c>
      <c r="K23">
        <v>106.4</v>
      </c>
      <c r="L23" s="5">
        <v>0.57099999999999995</v>
      </c>
      <c r="M23" s="5">
        <v>0.51900000000000002</v>
      </c>
      <c r="N23" s="5">
        <v>0.52400000000000002</v>
      </c>
      <c r="O23" s="5">
        <v>0.55300000000000005</v>
      </c>
      <c r="P23" s="6">
        <v>-1.1217948717948718</v>
      </c>
      <c r="Q23" s="6">
        <v>3.7428571428571429</v>
      </c>
      <c r="R23" s="5">
        <v>0.71299999999999997</v>
      </c>
      <c r="S23" s="5">
        <v>0.73599999999999999</v>
      </c>
      <c r="T23" s="6">
        <v>14.404029304029304</v>
      </c>
      <c r="U23" s="5">
        <v>0.38600000000000001</v>
      </c>
      <c r="V23"/>
      <c r="W23"/>
    </row>
    <row r="24" spans="1:23" x14ac:dyDescent="0.2">
      <c r="A24">
        <v>11</v>
      </c>
      <c r="B24" t="s">
        <v>49</v>
      </c>
      <c r="C24" t="s">
        <v>398</v>
      </c>
      <c r="D24" s="5">
        <v>0.80700000000000005</v>
      </c>
      <c r="E24" s="5">
        <v>0.505</v>
      </c>
      <c r="F24" s="6">
        <v>14.560240963855422</v>
      </c>
      <c r="G24" s="6">
        <v>0.22522522522522523</v>
      </c>
      <c r="H24">
        <v>111.4</v>
      </c>
      <c r="I24">
        <v>97.9</v>
      </c>
      <c r="J24">
        <v>90.6</v>
      </c>
      <c r="K24">
        <v>97.6</v>
      </c>
      <c r="L24" s="5">
        <v>0.55500000000000005</v>
      </c>
      <c r="M24" s="5">
        <v>0.497</v>
      </c>
      <c r="N24" s="5">
        <v>0.48899999999999999</v>
      </c>
      <c r="O24" s="5">
        <v>0.51</v>
      </c>
      <c r="P24" s="6">
        <v>-2.7951807228915664</v>
      </c>
      <c r="Q24" s="6">
        <v>3.5405405405405403</v>
      </c>
      <c r="R24" s="5">
        <v>0.72199999999999998</v>
      </c>
      <c r="S24" s="5">
        <v>0.71099999999999997</v>
      </c>
      <c r="T24" s="6">
        <v>14.335015738630197</v>
      </c>
      <c r="U24" s="5">
        <v>0.30200000000000005</v>
      </c>
      <c r="V24"/>
      <c r="W24"/>
    </row>
    <row r="25" spans="1:23" x14ac:dyDescent="0.2">
      <c r="A25">
        <v>39</v>
      </c>
      <c r="B25" t="s">
        <v>146</v>
      </c>
      <c r="C25" t="s">
        <v>401</v>
      </c>
      <c r="D25" s="5">
        <v>0.748</v>
      </c>
      <c r="E25" s="5">
        <v>0.32700000000000001</v>
      </c>
      <c r="F25" s="6">
        <v>10.079754601226995</v>
      </c>
      <c r="G25" s="6">
        <v>-4.1980198019801982</v>
      </c>
      <c r="H25">
        <v>109.5</v>
      </c>
      <c r="I25">
        <v>98.4</v>
      </c>
      <c r="J25">
        <v>95.1</v>
      </c>
      <c r="K25">
        <v>104.4</v>
      </c>
      <c r="L25" s="5">
        <v>0.56299999999999994</v>
      </c>
      <c r="M25" s="5">
        <v>0.51500000000000001</v>
      </c>
      <c r="N25" s="5">
        <v>0.50800000000000001</v>
      </c>
      <c r="O25" s="5">
        <v>0.54300000000000004</v>
      </c>
      <c r="P25" s="6">
        <v>-1.8404907975460123</v>
      </c>
      <c r="Q25" s="6">
        <v>3.891089108910891</v>
      </c>
      <c r="R25" s="5">
        <v>0.70499999999999996</v>
      </c>
      <c r="S25" s="5">
        <v>0.74099999999999999</v>
      </c>
      <c r="T25" s="6">
        <v>14.277774403207193</v>
      </c>
      <c r="U25" s="5">
        <v>0.42099999999999999</v>
      </c>
      <c r="V25"/>
      <c r="W25"/>
    </row>
    <row r="26" spans="1:23" x14ac:dyDescent="0.2">
      <c r="A26">
        <v>5</v>
      </c>
      <c r="B26" t="s">
        <v>71</v>
      </c>
      <c r="C26" t="s">
        <v>401</v>
      </c>
      <c r="D26" s="5">
        <v>0.83299999999999996</v>
      </c>
      <c r="E26" s="5">
        <v>0.47299999999999998</v>
      </c>
      <c r="F26" s="6">
        <v>13.333333333333334</v>
      </c>
      <c r="G26" s="6">
        <v>-0.79090909090909089</v>
      </c>
      <c r="H26">
        <v>112.4</v>
      </c>
      <c r="I26">
        <v>101.7</v>
      </c>
      <c r="J26">
        <v>94.3</v>
      </c>
      <c r="K26">
        <v>102.8</v>
      </c>
      <c r="L26" s="5">
        <v>0.57299999999999995</v>
      </c>
      <c r="M26" s="5">
        <v>0.52100000000000002</v>
      </c>
      <c r="N26" s="5">
        <v>0.505</v>
      </c>
      <c r="O26" s="5">
        <v>0.53300000000000003</v>
      </c>
      <c r="P26" s="6">
        <v>-1.9871794871794872</v>
      </c>
      <c r="Q26" s="6">
        <v>3.5727272727272728</v>
      </c>
      <c r="R26" s="5">
        <v>0.72</v>
      </c>
      <c r="S26" s="5">
        <v>0.71499999999999997</v>
      </c>
      <c r="T26" s="6">
        <v>14.124242424242425</v>
      </c>
      <c r="U26" s="5">
        <v>0.36</v>
      </c>
      <c r="V26"/>
      <c r="W26"/>
    </row>
    <row r="27" spans="1:23" x14ac:dyDescent="0.2">
      <c r="A27">
        <v>49</v>
      </c>
      <c r="B27" t="s">
        <v>69</v>
      </c>
      <c r="C27" t="s">
        <v>399</v>
      </c>
      <c r="D27" s="5">
        <v>0.84399999999999997</v>
      </c>
      <c r="E27" s="5">
        <v>0.53400000000000003</v>
      </c>
      <c r="F27" s="6">
        <v>13.167664670658683</v>
      </c>
      <c r="G27" s="6">
        <v>-0.82524271844660191</v>
      </c>
      <c r="H27">
        <v>111.9</v>
      </c>
      <c r="I27">
        <v>103.7</v>
      </c>
      <c r="J27">
        <v>93.1</v>
      </c>
      <c r="K27">
        <v>104.9</v>
      </c>
      <c r="L27" s="5">
        <v>0.58199999999999996</v>
      </c>
      <c r="M27" s="5">
        <v>0.53500000000000003</v>
      </c>
      <c r="N27" s="5">
        <v>0.5</v>
      </c>
      <c r="O27" s="5">
        <v>0.55100000000000005</v>
      </c>
      <c r="P27" s="6">
        <v>-2.1556886227544911</v>
      </c>
      <c r="Q27" s="6">
        <v>3.8155339805825244</v>
      </c>
      <c r="R27" s="5">
        <v>0.72499999999999998</v>
      </c>
      <c r="S27" s="5">
        <v>0.71599999999999997</v>
      </c>
      <c r="T27" s="6">
        <v>13.992907389105284</v>
      </c>
      <c r="U27" s="5">
        <v>0.30999999999999994</v>
      </c>
      <c r="V27"/>
      <c r="W27"/>
    </row>
    <row r="28" spans="1:23" x14ac:dyDescent="0.2">
      <c r="A28">
        <v>41</v>
      </c>
      <c r="B28" t="s">
        <v>182</v>
      </c>
      <c r="C28" t="s">
        <v>400</v>
      </c>
      <c r="D28" s="5">
        <v>0.69799999999999995</v>
      </c>
      <c r="E28" s="5">
        <v>0.32700000000000001</v>
      </c>
      <c r="F28" s="6">
        <v>8.6860465116279073</v>
      </c>
      <c r="G28" s="6">
        <v>-5.259615384615385</v>
      </c>
      <c r="H28">
        <v>109.9</v>
      </c>
      <c r="I28">
        <v>101.4</v>
      </c>
      <c r="J28">
        <v>97.7</v>
      </c>
      <c r="K28">
        <v>108.8</v>
      </c>
      <c r="L28" s="5">
        <v>0.55100000000000005</v>
      </c>
      <c r="M28" s="5">
        <v>0.51900000000000002</v>
      </c>
      <c r="N28" s="5">
        <v>0.52800000000000002</v>
      </c>
      <c r="O28" s="5">
        <v>0.55900000000000005</v>
      </c>
      <c r="P28" s="6">
        <v>-1.3953488372093024</v>
      </c>
      <c r="Q28" s="6">
        <v>3.7788461538461537</v>
      </c>
      <c r="R28" s="5">
        <v>0.70299999999999996</v>
      </c>
      <c r="S28" s="5">
        <v>0.73799999999999999</v>
      </c>
      <c r="T28" s="6">
        <v>13.945661896243292</v>
      </c>
      <c r="U28" s="5">
        <v>0.37099999999999994</v>
      </c>
      <c r="V28"/>
      <c r="W28"/>
    </row>
    <row r="29" spans="1:23" x14ac:dyDescent="0.2">
      <c r="A29">
        <v>59</v>
      </c>
      <c r="B29" t="s">
        <v>370</v>
      </c>
      <c r="C29" t="s">
        <v>400</v>
      </c>
      <c r="D29" s="5">
        <v>0.70299999999999996</v>
      </c>
      <c r="E29" s="5">
        <v>0.29099999999999998</v>
      </c>
      <c r="F29" s="6">
        <v>7.4</v>
      </c>
      <c r="G29" s="6">
        <v>-6.4636363636363638</v>
      </c>
      <c r="H29">
        <v>106.9</v>
      </c>
      <c r="I29">
        <v>96.6</v>
      </c>
      <c r="J29">
        <v>96.4</v>
      </c>
      <c r="K29">
        <v>105.9</v>
      </c>
      <c r="L29" s="5">
        <v>0.56799999999999995</v>
      </c>
      <c r="M29" s="5">
        <v>0.52100000000000002</v>
      </c>
      <c r="N29" s="5">
        <v>0.51800000000000002</v>
      </c>
      <c r="O29" s="5">
        <v>0.55400000000000005</v>
      </c>
      <c r="P29" s="6">
        <v>-2.0064516129032257</v>
      </c>
      <c r="Q29" s="6">
        <v>3.5727272727272728</v>
      </c>
      <c r="R29" s="5">
        <v>0.68200000000000005</v>
      </c>
      <c r="S29" s="5">
        <v>0.72099999999999997</v>
      </c>
      <c r="T29" s="6">
        <v>13.863636363636363</v>
      </c>
      <c r="U29" s="5">
        <v>0.41199999999999998</v>
      </c>
      <c r="V29"/>
      <c r="W29"/>
    </row>
    <row r="30" spans="1:23" x14ac:dyDescent="0.2">
      <c r="A30">
        <v>63</v>
      </c>
      <c r="B30" t="s">
        <v>118</v>
      </c>
      <c r="C30" t="s">
        <v>401</v>
      </c>
      <c r="D30" s="5">
        <v>0.73299999999999998</v>
      </c>
      <c r="E30" s="5">
        <v>0.376</v>
      </c>
      <c r="F30" s="6">
        <v>10.534883720930232</v>
      </c>
      <c r="G30" s="6">
        <v>-3.3267326732673266</v>
      </c>
      <c r="H30">
        <v>108.4</v>
      </c>
      <c r="I30">
        <v>99</v>
      </c>
      <c r="J30">
        <v>93.2</v>
      </c>
      <c r="K30">
        <v>103.8</v>
      </c>
      <c r="L30" s="5">
        <v>0.55900000000000005</v>
      </c>
      <c r="M30" s="5">
        <v>0.52600000000000002</v>
      </c>
      <c r="N30" s="5">
        <v>0.5</v>
      </c>
      <c r="O30" s="5">
        <v>0.53700000000000003</v>
      </c>
      <c r="P30" s="6">
        <v>-1.2267441860465116</v>
      </c>
      <c r="Q30" s="6">
        <v>3.891089108910891</v>
      </c>
      <c r="R30" s="5">
        <v>0.68700000000000006</v>
      </c>
      <c r="S30" s="5">
        <v>0.71599999999999997</v>
      </c>
      <c r="T30" s="6">
        <v>13.861616394197558</v>
      </c>
      <c r="U30" s="5">
        <v>0.35699999999999998</v>
      </c>
      <c r="V30"/>
      <c r="W30"/>
    </row>
    <row r="31" spans="1:23" x14ac:dyDescent="0.2">
      <c r="A31">
        <v>38</v>
      </c>
      <c r="B31" t="s">
        <v>333</v>
      </c>
      <c r="C31" t="s">
        <v>399</v>
      </c>
      <c r="D31" s="5">
        <v>0.64600000000000002</v>
      </c>
      <c r="E31" s="5">
        <v>0.21</v>
      </c>
      <c r="F31" s="6">
        <v>5.3142857142857141</v>
      </c>
      <c r="G31" s="6">
        <v>-8.5142857142857142</v>
      </c>
      <c r="H31">
        <v>105.1</v>
      </c>
      <c r="I31">
        <v>96</v>
      </c>
      <c r="J31">
        <v>97.6</v>
      </c>
      <c r="K31">
        <v>108.4</v>
      </c>
      <c r="L31" s="5">
        <v>0.54300000000000004</v>
      </c>
      <c r="M31" s="5">
        <v>0.495</v>
      </c>
      <c r="N31" s="5">
        <v>0.50800000000000001</v>
      </c>
      <c r="O31" s="5">
        <v>0.55300000000000005</v>
      </c>
      <c r="P31" s="6">
        <v>-3.04</v>
      </c>
      <c r="Q31" s="6">
        <v>3.7428571428571429</v>
      </c>
      <c r="R31" s="5">
        <v>0.71699999999999997</v>
      </c>
      <c r="S31" s="5">
        <v>0.69599999999999995</v>
      </c>
      <c r="T31" s="6">
        <v>13.828571428571429</v>
      </c>
      <c r="U31" s="5">
        <v>0.43600000000000005</v>
      </c>
      <c r="V31"/>
      <c r="W31"/>
    </row>
    <row r="32" spans="1:23" x14ac:dyDescent="0.2">
      <c r="A32">
        <v>9</v>
      </c>
      <c r="B32" t="s">
        <v>179</v>
      </c>
      <c r="C32" t="s">
        <v>402</v>
      </c>
      <c r="D32" s="5">
        <v>0.71299999999999997</v>
      </c>
      <c r="E32" s="5">
        <v>0.32400000000000001</v>
      </c>
      <c r="F32" s="6">
        <v>8.7624999999999993</v>
      </c>
      <c r="G32" s="6">
        <v>-4.9722222222222223</v>
      </c>
      <c r="H32">
        <v>110</v>
      </c>
      <c r="I32">
        <v>97.9</v>
      </c>
      <c r="J32">
        <v>97.4</v>
      </c>
      <c r="K32">
        <v>105.1</v>
      </c>
      <c r="L32" s="5">
        <v>0.57599999999999996</v>
      </c>
      <c r="M32" s="5">
        <v>0.51600000000000001</v>
      </c>
      <c r="N32" s="5">
        <v>0.52100000000000002</v>
      </c>
      <c r="O32" s="5">
        <v>0.54900000000000004</v>
      </c>
      <c r="P32" s="6">
        <v>-2</v>
      </c>
      <c r="Q32" s="6">
        <v>3.6388888888888888</v>
      </c>
      <c r="R32" s="5">
        <v>0.71499999999999997</v>
      </c>
      <c r="S32" s="5">
        <v>0.72699999999999998</v>
      </c>
      <c r="T32" s="6">
        <v>13.734722222222221</v>
      </c>
      <c r="U32" s="5">
        <v>0.38899999999999996</v>
      </c>
      <c r="V32"/>
      <c r="W32"/>
    </row>
    <row r="33" spans="1:23" x14ac:dyDescent="0.2">
      <c r="A33">
        <v>21</v>
      </c>
      <c r="B33" t="s">
        <v>328</v>
      </c>
      <c r="C33" t="s">
        <v>401</v>
      </c>
      <c r="D33" s="5">
        <v>0.66500000000000004</v>
      </c>
      <c r="E33" s="5">
        <v>0.25</v>
      </c>
      <c r="F33" s="6">
        <v>5.3526011560693645</v>
      </c>
      <c r="G33" s="6">
        <v>-8.3518518518518512</v>
      </c>
      <c r="H33">
        <v>104.8</v>
      </c>
      <c r="I33">
        <v>96.7</v>
      </c>
      <c r="J33">
        <v>97.3</v>
      </c>
      <c r="K33">
        <v>108.5</v>
      </c>
      <c r="L33" s="5">
        <v>0.55200000000000005</v>
      </c>
      <c r="M33" s="5">
        <v>0.51800000000000002</v>
      </c>
      <c r="N33" s="5">
        <v>0.504</v>
      </c>
      <c r="O33" s="5">
        <v>0.55300000000000005</v>
      </c>
      <c r="P33" s="6">
        <v>-3.3352601156069364</v>
      </c>
      <c r="Q33" s="6">
        <v>3.6388888888888888</v>
      </c>
      <c r="R33" s="5">
        <v>0.68700000000000006</v>
      </c>
      <c r="S33" s="5">
        <v>0.72099999999999997</v>
      </c>
      <c r="T33" s="6">
        <v>13.704453007921217</v>
      </c>
      <c r="U33" s="5">
        <v>0.41500000000000004</v>
      </c>
      <c r="V33"/>
      <c r="W33"/>
    </row>
    <row r="34" spans="1:23" x14ac:dyDescent="0.2">
      <c r="A34">
        <v>30</v>
      </c>
      <c r="B34" t="s">
        <v>34</v>
      </c>
      <c r="C34" t="s">
        <v>401</v>
      </c>
      <c r="D34" s="5">
        <v>0.86</v>
      </c>
      <c r="E34" s="5">
        <v>0.56299999999999994</v>
      </c>
      <c r="F34" s="6">
        <v>15.321637426900585</v>
      </c>
      <c r="G34" s="6">
        <v>1.6407766990291262</v>
      </c>
      <c r="H34">
        <v>115.5</v>
      </c>
      <c r="I34">
        <v>105.1</v>
      </c>
      <c r="J34">
        <v>94.2</v>
      </c>
      <c r="K34">
        <v>102.8</v>
      </c>
      <c r="L34" s="5">
        <v>0.58499999999999996</v>
      </c>
      <c r="M34" s="5">
        <v>0.54200000000000004</v>
      </c>
      <c r="N34" s="5">
        <v>0.499</v>
      </c>
      <c r="O34" s="5">
        <v>0.51900000000000002</v>
      </c>
      <c r="P34" s="6">
        <v>-3.4210526315789473</v>
      </c>
      <c r="Q34" s="6">
        <v>3.8155339805825244</v>
      </c>
      <c r="R34" s="5">
        <v>0.70899999999999996</v>
      </c>
      <c r="S34" s="5">
        <v>0.70199999999999996</v>
      </c>
      <c r="T34" s="6">
        <v>13.680860727871458</v>
      </c>
      <c r="U34" s="5">
        <v>0.29700000000000004</v>
      </c>
      <c r="V34"/>
      <c r="W34"/>
    </row>
    <row r="35" spans="1:23" x14ac:dyDescent="0.2">
      <c r="A35">
        <v>23</v>
      </c>
      <c r="B35" t="s">
        <v>13</v>
      </c>
      <c r="C35" t="s">
        <v>398</v>
      </c>
      <c r="D35" s="5">
        <v>0.91700000000000004</v>
      </c>
      <c r="E35" s="5">
        <v>0.71199999999999997</v>
      </c>
      <c r="F35" s="6">
        <v>20.201183431952664</v>
      </c>
      <c r="G35" s="6">
        <v>6.7019230769230766</v>
      </c>
      <c r="H35">
        <v>114.6</v>
      </c>
      <c r="I35">
        <v>108.4</v>
      </c>
      <c r="J35">
        <v>84.9</v>
      </c>
      <c r="K35">
        <v>98.4</v>
      </c>
      <c r="L35" s="5">
        <v>0.55800000000000005</v>
      </c>
      <c r="M35" s="5">
        <v>0.54100000000000004</v>
      </c>
      <c r="N35" s="5">
        <v>0.46500000000000002</v>
      </c>
      <c r="O35" s="5">
        <v>0.51900000000000002</v>
      </c>
      <c r="P35" s="6">
        <v>-0.378698224852071</v>
      </c>
      <c r="Q35" s="6">
        <v>3.7788461538461537</v>
      </c>
      <c r="R35" s="5">
        <v>0.67500000000000004</v>
      </c>
      <c r="S35" s="5">
        <v>0.71499999999999997</v>
      </c>
      <c r="T35" s="6">
        <v>13.499260355029588</v>
      </c>
      <c r="U35" s="5">
        <v>0.20500000000000007</v>
      </c>
      <c r="V35"/>
      <c r="W35"/>
    </row>
    <row r="36" spans="1:23" x14ac:dyDescent="0.2">
      <c r="A36">
        <v>8</v>
      </c>
      <c r="B36" t="s">
        <v>38</v>
      </c>
      <c r="C36" t="s">
        <v>398</v>
      </c>
      <c r="D36" s="5">
        <v>0.84799999999999998</v>
      </c>
      <c r="E36" s="5">
        <v>0.495</v>
      </c>
      <c r="F36" s="6">
        <v>14.651898734177216</v>
      </c>
      <c r="G36" s="6">
        <v>1.1869158878504673</v>
      </c>
      <c r="H36">
        <v>112.1</v>
      </c>
      <c r="I36">
        <v>105</v>
      </c>
      <c r="J36">
        <v>92</v>
      </c>
      <c r="K36">
        <v>103.4</v>
      </c>
      <c r="L36" s="5">
        <v>0.58499999999999996</v>
      </c>
      <c r="M36" s="5">
        <v>0.55800000000000005</v>
      </c>
      <c r="N36" s="5">
        <v>0.49399999999999999</v>
      </c>
      <c r="O36" s="5">
        <v>0.54800000000000004</v>
      </c>
      <c r="P36" s="6">
        <v>-1.7911392405063291</v>
      </c>
      <c r="Q36" s="6">
        <v>3.6728971962616823</v>
      </c>
      <c r="R36" s="5">
        <v>0.66500000000000004</v>
      </c>
      <c r="S36" s="5">
        <v>0.72</v>
      </c>
      <c r="T36" s="6">
        <v>13.464982846326748</v>
      </c>
      <c r="U36" s="5">
        <v>0.35299999999999998</v>
      </c>
      <c r="V36"/>
      <c r="W36"/>
    </row>
    <row r="37" spans="1:23" x14ac:dyDescent="0.2">
      <c r="A37">
        <v>14</v>
      </c>
      <c r="B37" t="s">
        <v>50</v>
      </c>
      <c r="C37" t="s">
        <v>402</v>
      </c>
      <c r="D37" s="5">
        <v>0.80300000000000005</v>
      </c>
      <c r="E37" s="5">
        <v>0.46200000000000002</v>
      </c>
      <c r="F37" s="6">
        <v>13.630573248407643</v>
      </c>
      <c r="G37" s="6">
        <v>0.21153846153846154</v>
      </c>
      <c r="H37">
        <v>111</v>
      </c>
      <c r="I37">
        <v>102.7</v>
      </c>
      <c r="J37">
        <v>91.5</v>
      </c>
      <c r="K37">
        <v>102.3</v>
      </c>
      <c r="L37" s="5">
        <v>0.56200000000000006</v>
      </c>
      <c r="M37" s="5">
        <v>0.53100000000000003</v>
      </c>
      <c r="N37" s="5">
        <v>0.48799999999999999</v>
      </c>
      <c r="O37" s="5">
        <v>0.53100000000000003</v>
      </c>
      <c r="P37" s="6">
        <v>-0.9426751592356688</v>
      </c>
      <c r="Q37" s="6">
        <v>3.7788461538461537</v>
      </c>
      <c r="R37" s="5">
        <v>0.70499999999999996</v>
      </c>
      <c r="S37" s="5">
        <v>0.71299999999999997</v>
      </c>
      <c r="T37" s="6">
        <v>13.419034786869181</v>
      </c>
      <c r="U37" s="5">
        <v>0.34100000000000003</v>
      </c>
      <c r="V37"/>
      <c r="W37"/>
    </row>
    <row r="38" spans="1:23" x14ac:dyDescent="0.2">
      <c r="A38">
        <v>36</v>
      </c>
      <c r="B38" t="s">
        <v>86</v>
      </c>
      <c r="C38" t="s">
        <v>399</v>
      </c>
      <c r="D38" s="5">
        <v>0.77</v>
      </c>
      <c r="E38" s="5">
        <v>0.443</v>
      </c>
      <c r="F38" s="6">
        <v>11.391304347826088</v>
      </c>
      <c r="G38" s="6">
        <v>-1.7452830188679245</v>
      </c>
      <c r="H38">
        <v>111.2</v>
      </c>
      <c r="I38">
        <v>103.3</v>
      </c>
      <c r="J38">
        <v>94.6</v>
      </c>
      <c r="K38">
        <v>105.9</v>
      </c>
      <c r="L38" s="5">
        <v>0.57999999999999996</v>
      </c>
      <c r="M38" s="5">
        <v>0.53800000000000003</v>
      </c>
      <c r="N38" s="5">
        <v>0.5</v>
      </c>
      <c r="O38" s="5">
        <v>0.54200000000000004</v>
      </c>
      <c r="P38" s="6">
        <v>-2.347826086956522</v>
      </c>
      <c r="Q38" s="6">
        <v>3.7075471698113209</v>
      </c>
      <c r="R38" s="5">
        <v>0.71099999999999997</v>
      </c>
      <c r="S38" s="5">
        <v>0.71599999999999997</v>
      </c>
      <c r="T38" s="6">
        <v>13.136587366694013</v>
      </c>
      <c r="U38" s="5">
        <v>0.32700000000000001</v>
      </c>
      <c r="V38"/>
      <c r="W38"/>
    </row>
    <row r="39" spans="1:23" x14ac:dyDescent="0.2">
      <c r="A39">
        <v>2</v>
      </c>
      <c r="B39" t="s">
        <v>17</v>
      </c>
      <c r="C39" t="s">
        <v>398</v>
      </c>
      <c r="D39" s="5">
        <v>0.86699999999999999</v>
      </c>
      <c r="E39" s="5">
        <v>0.59399999999999997</v>
      </c>
      <c r="F39" s="6">
        <v>17.216867469879517</v>
      </c>
      <c r="G39" s="6">
        <v>4.1603773584905657</v>
      </c>
      <c r="H39">
        <v>114.9</v>
      </c>
      <c r="I39">
        <v>106.8</v>
      </c>
      <c r="J39">
        <v>90.9</v>
      </c>
      <c r="K39">
        <v>101.1</v>
      </c>
      <c r="L39" s="5">
        <v>0.59099999999999997</v>
      </c>
      <c r="M39" s="5">
        <v>0.54800000000000004</v>
      </c>
      <c r="N39" s="5">
        <v>0.48799999999999999</v>
      </c>
      <c r="O39" s="5">
        <v>0.52900000000000003</v>
      </c>
      <c r="P39" s="6">
        <v>-3.6445783132530121</v>
      </c>
      <c r="Q39" s="6">
        <v>3.7075471698113209</v>
      </c>
      <c r="R39" s="5">
        <v>0.68400000000000005</v>
      </c>
      <c r="S39" s="5">
        <v>0.72099999999999997</v>
      </c>
      <c r="T39" s="6">
        <v>13.056490111388952</v>
      </c>
      <c r="U39" s="5">
        <v>0.27300000000000002</v>
      </c>
      <c r="V39"/>
      <c r="W39"/>
    </row>
    <row r="40" spans="1:23" x14ac:dyDescent="0.2">
      <c r="A40">
        <v>10</v>
      </c>
      <c r="B40" t="s">
        <v>281</v>
      </c>
      <c r="C40" t="s">
        <v>400</v>
      </c>
      <c r="D40" s="5">
        <v>0.57699999999999996</v>
      </c>
      <c r="E40" s="5">
        <v>0.17899999999999999</v>
      </c>
      <c r="F40" s="6">
        <v>2.3333333333333335</v>
      </c>
      <c r="G40" s="6">
        <v>-10.705357142857142</v>
      </c>
      <c r="H40">
        <v>103.4</v>
      </c>
      <c r="I40">
        <v>91.8</v>
      </c>
      <c r="J40">
        <v>100</v>
      </c>
      <c r="K40">
        <v>107.3</v>
      </c>
      <c r="L40" s="5">
        <v>0.53600000000000003</v>
      </c>
      <c r="M40" s="5">
        <v>0.48899999999999999</v>
      </c>
      <c r="N40" s="5">
        <v>0.52700000000000002</v>
      </c>
      <c r="O40" s="5">
        <v>0.56499999999999995</v>
      </c>
      <c r="P40" s="6">
        <v>-0.98809523809523814</v>
      </c>
      <c r="Q40" s="6">
        <v>3.5089285714285716</v>
      </c>
      <c r="R40" s="5">
        <v>0.72499999999999998</v>
      </c>
      <c r="S40" s="5">
        <v>0.71499999999999997</v>
      </c>
      <c r="T40" s="6">
        <v>13.038690476190476</v>
      </c>
      <c r="U40" s="5">
        <v>0.39799999999999996</v>
      </c>
      <c r="V40"/>
      <c r="W40"/>
    </row>
    <row r="41" spans="1:23" x14ac:dyDescent="0.2">
      <c r="A41">
        <v>67</v>
      </c>
      <c r="B41" t="s">
        <v>57</v>
      </c>
      <c r="C41" t="s">
        <v>399</v>
      </c>
      <c r="D41" s="5">
        <v>0.82099999999999995</v>
      </c>
      <c r="E41" s="5">
        <v>0.51400000000000001</v>
      </c>
      <c r="F41" s="6">
        <v>12.901234567901234</v>
      </c>
      <c r="G41" s="6">
        <v>-3.8095238095238099E-2</v>
      </c>
      <c r="H41">
        <v>112</v>
      </c>
      <c r="I41">
        <v>104.6</v>
      </c>
      <c r="J41">
        <v>93.8</v>
      </c>
      <c r="K41">
        <v>104.6</v>
      </c>
      <c r="L41" s="5">
        <v>0.56399999999999995</v>
      </c>
      <c r="M41" s="5">
        <v>0.53900000000000003</v>
      </c>
      <c r="N41" s="5">
        <v>0.505</v>
      </c>
      <c r="O41" s="5">
        <v>0.54400000000000004</v>
      </c>
      <c r="P41" s="6">
        <v>-2.6666666666666665</v>
      </c>
      <c r="Q41" s="6">
        <v>3.7428571428571429</v>
      </c>
      <c r="R41" s="5">
        <v>0.69699999999999995</v>
      </c>
      <c r="S41" s="5">
        <v>0.72099999999999997</v>
      </c>
      <c r="T41" s="6">
        <v>12.939329805996472</v>
      </c>
      <c r="U41" s="5">
        <v>0.30699999999999994</v>
      </c>
      <c r="V41"/>
      <c r="W41"/>
    </row>
    <row r="42" spans="1:23" x14ac:dyDescent="0.2">
      <c r="A42">
        <v>34</v>
      </c>
      <c r="B42" t="s">
        <v>80</v>
      </c>
      <c r="C42" t="s">
        <v>399</v>
      </c>
      <c r="D42" s="5">
        <v>0.79500000000000004</v>
      </c>
      <c r="E42" s="5">
        <v>0.41</v>
      </c>
      <c r="F42" s="6">
        <v>11.539772727272727</v>
      </c>
      <c r="G42" s="6">
        <v>-1.3904761904761904</v>
      </c>
      <c r="H42">
        <v>110.5</v>
      </c>
      <c r="I42">
        <v>100.6</v>
      </c>
      <c r="J42">
        <v>93.6</v>
      </c>
      <c r="K42">
        <v>102.6</v>
      </c>
      <c r="L42" s="5">
        <v>0.56899999999999995</v>
      </c>
      <c r="M42" s="5">
        <v>0.53100000000000003</v>
      </c>
      <c r="N42" s="5">
        <v>0.49199999999999999</v>
      </c>
      <c r="O42" s="5">
        <v>0.52600000000000002</v>
      </c>
      <c r="P42" s="6">
        <v>-4.1761363636363633</v>
      </c>
      <c r="Q42" s="6">
        <v>3.7428571428571429</v>
      </c>
      <c r="R42" s="5">
        <v>0.72399999999999998</v>
      </c>
      <c r="S42" s="5">
        <v>0.72099999999999997</v>
      </c>
      <c r="T42" s="6">
        <v>12.930248917748917</v>
      </c>
      <c r="U42" s="5">
        <v>0.38500000000000006</v>
      </c>
      <c r="V42"/>
      <c r="W42"/>
    </row>
    <row r="43" spans="1:23" x14ac:dyDescent="0.2">
      <c r="A43">
        <v>50</v>
      </c>
      <c r="B43" t="s">
        <v>183</v>
      </c>
      <c r="C43" t="s">
        <v>399</v>
      </c>
      <c r="D43" s="5">
        <v>0.69799999999999995</v>
      </c>
      <c r="E43" s="5">
        <v>0.29099999999999998</v>
      </c>
      <c r="F43" s="6">
        <v>7.8427672955974845</v>
      </c>
      <c r="G43" s="6">
        <v>-5.081818181818182</v>
      </c>
      <c r="H43">
        <v>107</v>
      </c>
      <c r="I43">
        <v>97.7</v>
      </c>
      <c r="J43">
        <v>95.9</v>
      </c>
      <c r="K43">
        <v>105</v>
      </c>
      <c r="L43" s="5">
        <v>0.55300000000000005</v>
      </c>
      <c r="M43" s="5">
        <v>0.51400000000000001</v>
      </c>
      <c r="N43" s="5">
        <v>0.51600000000000001</v>
      </c>
      <c r="O43" s="5">
        <v>0.54900000000000004</v>
      </c>
      <c r="P43" s="6">
        <v>-1.4528301886792452</v>
      </c>
      <c r="Q43" s="6">
        <v>3.5727272727272728</v>
      </c>
      <c r="R43" s="5">
        <v>0.71499999999999997</v>
      </c>
      <c r="S43" s="5">
        <v>0.71899999999999997</v>
      </c>
      <c r="T43" s="6">
        <v>12.924585477415667</v>
      </c>
      <c r="U43" s="5">
        <v>0.40699999999999997</v>
      </c>
      <c r="V43"/>
      <c r="W43"/>
    </row>
    <row r="44" spans="1:23" x14ac:dyDescent="0.2">
      <c r="A44">
        <v>12</v>
      </c>
      <c r="B44" t="s">
        <v>88</v>
      </c>
      <c r="C44" t="s">
        <v>400</v>
      </c>
      <c r="D44" s="5">
        <v>0.79400000000000004</v>
      </c>
      <c r="E44" s="5">
        <v>0.4</v>
      </c>
      <c r="F44" s="6">
        <v>11.0625</v>
      </c>
      <c r="G44" s="6">
        <v>-1.838095238095238</v>
      </c>
      <c r="H44">
        <v>110.6</v>
      </c>
      <c r="I44">
        <v>100.9</v>
      </c>
      <c r="J44">
        <v>94.4</v>
      </c>
      <c r="K44">
        <v>103.6</v>
      </c>
      <c r="L44" s="5">
        <v>0.57299999999999995</v>
      </c>
      <c r="M44" s="5">
        <v>0.53400000000000003</v>
      </c>
      <c r="N44" s="5">
        <v>0.505</v>
      </c>
      <c r="O44" s="5">
        <v>0.53900000000000003</v>
      </c>
      <c r="P44" s="6">
        <v>-2.7625000000000002</v>
      </c>
      <c r="Q44" s="6">
        <v>3.7428571428571429</v>
      </c>
      <c r="R44" s="5">
        <v>0.71899999999999997</v>
      </c>
      <c r="S44" s="5">
        <v>0.73399999999999999</v>
      </c>
      <c r="T44" s="6">
        <v>12.900595238095239</v>
      </c>
      <c r="U44" s="5">
        <v>0.39400000000000002</v>
      </c>
      <c r="V44"/>
      <c r="W44"/>
    </row>
    <row r="45" spans="1:23" x14ac:dyDescent="0.2">
      <c r="A45">
        <v>44</v>
      </c>
      <c r="B45" t="s">
        <v>172</v>
      </c>
      <c r="C45" t="s">
        <v>399</v>
      </c>
      <c r="D45" s="5">
        <v>0.66100000000000003</v>
      </c>
      <c r="E45" s="5">
        <v>0.312</v>
      </c>
      <c r="F45" s="6">
        <v>8.1904761904761898</v>
      </c>
      <c r="G45" s="6">
        <v>-4.6880733944954125</v>
      </c>
      <c r="H45">
        <v>106.2</v>
      </c>
      <c r="I45">
        <v>98.4</v>
      </c>
      <c r="J45">
        <v>94.2</v>
      </c>
      <c r="K45">
        <v>105.3</v>
      </c>
      <c r="L45" s="5">
        <v>0.53700000000000003</v>
      </c>
      <c r="M45" s="5">
        <v>0.51600000000000001</v>
      </c>
      <c r="N45" s="5">
        <v>0.50700000000000001</v>
      </c>
      <c r="O45" s="5">
        <v>0.55000000000000004</v>
      </c>
      <c r="P45" s="6">
        <v>-0.41666666666666669</v>
      </c>
      <c r="Q45" s="6">
        <v>3.6055045871559632</v>
      </c>
      <c r="R45" s="5">
        <v>0.70199999999999996</v>
      </c>
      <c r="S45" s="5">
        <v>0.72</v>
      </c>
      <c r="T45" s="6">
        <v>12.878549584971601</v>
      </c>
      <c r="U45" s="5">
        <v>0.34900000000000003</v>
      </c>
      <c r="V45"/>
      <c r="W45"/>
    </row>
    <row r="46" spans="1:23" x14ac:dyDescent="0.2">
      <c r="A46">
        <v>28</v>
      </c>
      <c r="B46" t="s">
        <v>32</v>
      </c>
      <c r="C46" t="s">
        <v>398</v>
      </c>
      <c r="D46" s="5">
        <v>0.92500000000000004</v>
      </c>
      <c r="E46" s="5">
        <v>0.58299999999999996</v>
      </c>
      <c r="F46" s="6">
        <v>14.761006289308176</v>
      </c>
      <c r="G46" s="6">
        <v>1.9351851851851851</v>
      </c>
      <c r="H46">
        <v>114.3</v>
      </c>
      <c r="I46">
        <v>102</v>
      </c>
      <c r="J46">
        <v>93.6</v>
      </c>
      <c r="K46">
        <v>99.2</v>
      </c>
      <c r="L46" s="5">
        <v>0.58699999999999997</v>
      </c>
      <c r="M46" s="5">
        <v>0.54200000000000004</v>
      </c>
      <c r="N46" s="5">
        <v>0.49099999999999999</v>
      </c>
      <c r="O46" s="5">
        <v>0.51100000000000001</v>
      </c>
      <c r="P46" s="6">
        <v>-2.6226415094339623</v>
      </c>
      <c r="Q46" s="6">
        <v>3.6388888888888888</v>
      </c>
      <c r="R46" s="5">
        <v>0.70499999999999996</v>
      </c>
      <c r="S46" s="5">
        <v>0.72199999999999998</v>
      </c>
      <c r="T46" s="6">
        <v>12.825821104122991</v>
      </c>
      <c r="U46" s="5">
        <v>0.34200000000000008</v>
      </c>
      <c r="V46"/>
      <c r="W46"/>
    </row>
    <row r="47" spans="1:23" x14ac:dyDescent="0.2">
      <c r="A47">
        <v>60</v>
      </c>
      <c r="B47" t="s">
        <v>155</v>
      </c>
      <c r="C47" t="s">
        <v>400</v>
      </c>
      <c r="D47" s="5">
        <v>0.73399999999999999</v>
      </c>
      <c r="E47" s="5">
        <v>0.35199999999999998</v>
      </c>
      <c r="F47" s="6">
        <v>8.0924855491329488</v>
      </c>
      <c r="G47" s="6">
        <v>-4.2952380952380951</v>
      </c>
      <c r="H47">
        <v>107.9</v>
      </c>
      <c r="I47">
        <v>102.6</v>
      </c>
      <c r="J47">
        <v>96.3</v>
      </c>
      <c r="K47">
        <v>108.7</v>
      </c>
      <c r="L47" s="5">
        <v>0.55500000000000005</v>
      </c>
      <c r="M47" s="5">
        <v>0.53400000000000003</v>
      </c>
      <c r="N47" s="5">
        <v>0.51200000000000001</v>
      </c>
      <c r="O47" s="5">
        <v>0.55200000000000005</v>
      </c>
      <c r="P47" s="6">
        <v>-3.2080924855491331</v>
      </c>
      <c r="Q47" s="6">
        <v>3.7428571428571429</v>
      </c>
      <c r="R47" s="5">
        <v>0.69799999999999995</v>
      </c>
      <c r="S47" s="5">
        <v>0.73199999999999998</v>
      </c>
      <c r="T47" s="6">
        <v>12.387723644371043</v>
      </c>
      <c r="U47" s="5">
        <v>0.38200000000000001</v>
      </c>
      <c r="V47"/>
      <c r="W47"/>
    </row>
    <row r="48" spans="1:23" x14ac:dyDescent="0.2">
      <c r="A48">
        <v>24</v>
      </c>
      <c r="B48" t="s">
        <v>76</v>
      </c>
      <c r="C48" t="s">
        <v>399</v>
      </c>
      <c r="D48" s="5">
        <v>0.74399999999999999</v>
      </c>
      <c r="E48" s="5">
        <v>0.40600000000000003</v>
      </c>
      <c r="F48" s="6">
        <v>11.378048780487806</v>
      </c>
      <c r="G48" s="6">
        <v>-1.0094339622641511</v>
      </c>
      <c r="H48">
        <v>109.7</v>
      </c>
      <c r="I48">
        <v>103.5</v>
      </c>
      <c r="J48">
        <v>93.9</v>
      </c>
      <c r="K48">
        <v>104.9</v>
      </c>
      <c r="L48" s="5">
        <v>0.56200000000000006</v>
      </c>
      <c r="M48" s="5">
        <v>0.53100000000000003</v>
      </c>
      <c r="N48" s="5">
        <v>0.503</v>
      </c>
      <c r="O48" s="5">
        <v>0.54400000000000004</v>
      </c>
      <c r="P48" s="6">
        <v>-2.7317073170731709</v>
      </c>
      <c r="Q48" s="6">
        <v>3.7075471698113209</v>
      </c>
      <c r="R48" s="5">
        <v>0.70299999999999996</v>
      </c>
      <c r="S48" s="5">
        <v>0.73099999999999998</v>
      </c>
      <c r="T48" s="6">
        <v>12.387482742751956</v>
      </c>
      <c r="U48" s="5">
        <v>0.33799999999999997</v>
      </c>
      <c r="V48"/>
      <c r="W48"/>
    </row>
    <row r="49" spans="1:23" x14ac:dyDescent="0.2">
      <c r="A49">
        <v>17</v>
      </c>
      <c r="B49" t="s">
        <v>14</v>
      </c>
      <c r="C49" t="s">
        <v>400</v>
      </c>
      <c r="D49" s="5">
        <v>0.88</v>
      </c>
      <c r="E49" s="5">
        <v>0.60799999999999998</v>
      </c>
      <c r="F49" s="6">
        <v>18.53012048192771</v>
      </c>
      <c r="G49" s="6">
        <v>6.2254901960784315</v>
      </c>
      <c r="H49">
        <v>117.4</v>
      </c>
      <c r="I49">
        <v>109.8</v>
      </c>
      <c r="J49">
        <v>91.4</v>
      </c>
      <c r="K49">
        <v>100.9</v>
      </c>
      <c r="L49" s="5">
        <v>0.58699999999999997</v>
      </c>
      <c r="M49" s="5">
        <v>0.56499999999999995</v>
      </c>
      <c r="N49" s="5">
        <v>0.48199999999999998</v>
      </c>
      <c r="O49" s="5">
        <v>0.51900000000000002</v>
      </c>
      <c r="P49" s="6">
        <v>-2.8433734939759034</v>
      </c>
      <c r="Q49" s="6">
        <v>3.8529411764705883</v>
      </c>
      <c r="R49" s="5">
        <v>0.7</v>
      </c>
      <c r="S49" s="5">
        <v>0.70599999999999996</v>
      </c>
      <c r="T49" s="6">
        <v>12.304630285849278</v>
      </c>
      <c r="U49" s="5">
        <v>0.27200000000000002</v>
      </c>
      <c r="V49"/>
      <c r="W49"/>
    </row>
    <row r="50" spans="1:23" x14ac:dyDescent="0.2">
      <c r="A50">
        <v>1</v>
      </c>
      <c r="B50" t="s">
        <v>70</v>
      </c>
      <c r="C50" t="s">
        <v>401</v>
      </c>
      <c r="D50" s="5">
        <v>0.78700000000000003</v>
      </c>
      <c r="E50" s="5">
        <v>0.47699999999999998</v>
      </c>
      <c r="F50" s="6">
        <v>11.473333333333333</v>
      </c>
      <c r="G50" s="6">
        <v>-0.78378378378378377</v>
      </c>
      <c r="H50">
        <v>109.1</v>
      </c>
      <c r="I50">
        <v>102.6</v>
      </c>
      <c r="J50">
        <v>93.6</v>
      </c>
      <c r="K50">
        <v>103.7</v>
      </c>
      <c r="L50" s="5">
        <v>0.56699999999999995</v>
      </c>
      <c r="M50" s="5">
        <v>0.54</v>
      </c>
      <c r="N50" s="5">
        <v>0.48699999999999999</v>
      </c>
      <c r="O50" s="5">
        <v>0.52800000000000002</v>
      </c>
      <c r="P50" s="6">
        <v>-2.9733333333333332</v>
      </c>
      <c r="Q50" s="6">
        <v>3.5405405405405403</v>
      </c>
      <c r="R50" s="5">
        <v>0.68400000000000005</v>
      </c>
      <c r="S50" s="5">
        <v>0.71799999999999997</v>
      </c>
      <c r="T50" s="6">
        <v>12.257117117117117</v>
      </c>
      <c r="U50" s="5">
        <v>0.31000000000000005</v>
      </c>
      <c r="V50"/>
      <c r="W50"/>
    </row>
    <row r="51" spans="1:23" x14ac:dyDescent="0.2">
      <c r="A51">
        <v>73</v>
      </c>
      <c r="B51" t="s">
        <v>216</v>
      </c>
      <c r="C51" t="s">
        <v>400</v>
      </c>
      <c r="D51" s="5">
        <v>0.68</v>
      </c>
      <c r="E51" s="5">
        <v>0.27200000000000002</v>
      </c>
      <c r="F51" s="6">
        <v>6.3267973856209148</v>
      </c>
      <c r="G51" s="6">
        <v>-5.8596491228070171</v>
      </c>
      <c r="H51">
        <v>107.6</v>
      </c>
      <c r="I51">
        <v>99.9</v>
      </c>
      <c r="J51">
        <v>98.8</v>
      </c>
      <c r="K51">
        <v>108.1</v>
      </c>
      <c r="L51" s="5">
        <v>0.56799999999999995</v>
      </c>
      <c r="M51" s="5">
        <v>0.53100000000000003</v>
      </c>
      <c r="N51" s="5">
        <v>0.52200000000000002</v>
      </c>
      <c r="O51" s="5">
        <v>0.55800000000000005</v>
      </c>
      <c r="P51" s="6">
        <v>-3.215686274509804</v>
      </c>
      <c r="Q51" s="6">
        <v>3.4473684210526314</v>
      </c>
      <c r="R51" s="5">
        <v>0.71299999999999997</v>
      </c>
      <c r="S51" s="5">
        <v>0.73399999999999999</v>
      </c>
      <c r="T51" s="6">
        <v>12.186446508427931</v>
      </c>
      <c r="U51" s="5">
        <v>0.40800000000000003</v>
      </c>
      <c r="V51"/>
      <c r="W51"/>
    </row>
    <row r="52" spans="1:23" x14ac:dyDescent="0.2">
      <c r="A52">
        <v>74</v>
      </c>
      <c r="B52" t="s">
        <v>362</v>
      </c>
      <c r="C52" t="s">
        <v>399</v>
      </c>
      <c r="D52" s="5">
        <v>0.63900000000000001</v>
      </c>
      <c r="E52" s="5">
        <v>0.29799999999999999</v>
      </c>
      <c r="F52" s="6">
        <v>4.9397590361445785</v>
      </c>
      <c r="G52" s="6">
        <v>-7.0769230769230766</v>
      </c>
      <c r="H52">
        <v>103.6</v>
      </c>
      <c r="I52">
        <v>97.3</v>
      </c>
      <c r="J52">
        <v>96.8</v>
      </c>
      <c r="K52">
        <v>107.1</v>
      </c>
      <c r="L52" s="5">
        <v>0.54700000000000004</v>
      </c>
      <c r="M52" s="5">
        <v>0.52200000000000002</v>
      </c>
      <c r="N52" s="5">
        <v>0.51200000000000001</v>
      </c>
      <c r="O52" s="5">
        <v>0.55100000000000005</v>
      </c>
      <c r="P52" s="6">
        <v>-1.5421686746987953</v>
      </c>
      <c r="Q52" s="6">
        <v>3.7788461538461537</v>
      </c>
      <c r="R52" s="5">
        <v>0.70099999999999996</v>
      </c>
      <c r="S52" s="5">
        <v>0.71199999999999997</v>
      </c>
      <c r="T52" s="6">
        <v>12.016682113067656</v>
      </c>
      <c r="U52" s="5">
        <v>0.34100000000000003</v>
      </c>
      <c r="V52"/>
      <c r="W52"/>
    </row>
    <row r="53" spans="1:23" x14ac:dyDescent="0.2">
      <c r="A53">
        <v>57</v>
      </c>
      <c r="B53" t="s">
        <v>87</v>
      </c>
      <c r="C53" t="s">
        <v>399</v>
      </c>
      <c r="D53" s="5">
        <v>0.78300000000000003</v>
      </c>
      <c r="E53" s="5">
        <v>0.45400000000000001</v>
      </c>
      <c r="F53" s="6">
        <v>10.22289156626506</v>
      </c>
      <c r="G53" s="6">
        <v>-1.7777777777777777</v>
      </c>
      <c r="H53">
        <v>109.3</v>
      </c>
      <c r="I53">
        <v>101.7</v>
      </c>
      <c r="J53">
        <v>95</v>
      </c>
      <c r="K53">
        <v>104.2</v>
      </c>
      <c r="L53" s="5">
        <v>0.56200000000000006</v>
      </c>
      <c r="M53" s="5">
        <v>0.53100000000000003</v>
      </c>
      <c r="N53" s="5">
        <v>0.498</v>
      </c>
      <c r="O53" s="5">
        <v>0.53200000000000003</v>
      </c>
      <c r="P53" s="6">
        <v>-2.5843373493975905</v>
      </c>
      <c r="Q53" s="6">
        <v>3.6388888888888888</v>
      </c>
      <c r="R53" s="5">
        <v>0.70699999999999996</v>
      </c>
      <c r="S53" s="5">
        <v>0.72</v>
      </c>
      <c r="T53" s="6">
        <v>12.000669344042837</v>
      </c>
      <c r="U53" s="5">
        <v>0.32900000000000001</v>
      </c>
      <c r="V53"/>
      <c r="W53"/>
    </row>
    <row r="54" spans="1:23" x14ac:dyDescent="0.2">
      <c r="A54">
        <v>69</v>
      </c>
      <c r="B54" t="s">
        <v>368</v>
      </c>
      <c r="C54" t="s">
        <v>401</v>
      </c>
      <c r="D54" s="5">
        <v>0.60599999999999998</v>
      </c>
      <c r="E54" s="5">
        <v>0.25</v>
      </c>
      <c r="F54" s="6">
        <v>5.3235294117647056</v>
      </c>
      <c r="G54" s="6">
        <v>-6.666666666666667</v>
      </c>
      <c r="H54">
        <v>107.7</v>
      </c>
      <c r="I54">
        <v>98</v>
      </c>
      <c r="J54">
        <v>100.1</v>
      </c>
      <c r="K54">
        <v>107.5</v>
      </c>
      <c r="L54" s="5">
        <v>0.55700000000000005</v>
      </c>
      <c r="M54" s="5">
        <v>0.52300000000000002</v>
      </c>
      <c r="N54" s="5">
        <v>0.52800000000000002</v>
      </c>
      <c r="O54" s="5">
        <v>0.54900000000000004</v>
      </c>
      <c r="P54" s="6">
        <v>-2.2705882352941176</v>
      </c>
      <c r="Q54" s="6">
        <v>3.6388888888888888</v>
      </c>
      <c r="R54" s="5">
        <v>0.72599999999999998</v>
      </c>
      <c r="S54" s="5">
        <v>0.71699999999999997</v>
      </c>
      <c r="T54" s="6">
        <v>11.990196078431373</v>
      </c>
      <c r="U54" s="5">
        <v>0.35599999999999998</v>
      </c>
      <c r="V54"/>
      <c r="W54"/>
    </row>
    <row r="55" spans="1:23" x14ac:dyDescent="0.2">
      <c r="A55">
        <v>32</v>
      </c>
      <c r="B55" t="s">
        <v>111</v>
      </c>
      <c r="C55" t="s">
        <v>400</v>
      </c>
      <c r="D55" s="5">
        <v>0.71199999999999997</v>
      </c>
      <c r="E55" s="5">
        <v>0.374</v>
      </c>
      <c r="F55" s="6">
        <v>9.0294117647058822</v>
      </c>
      <c r="G55" s="6">
        <v>-2.8971962616822431</v>
      </c>
      <c r="H55">
        <v>108.3</v>
      </c>
      <c r="I55">
        <v>101.2</v>
      </c>
      <c r="J55">
        <v>95.3</v>
      </c>
      <c r="K55">
        <v>105.4</v>
      </c>
      <c r="L55" s="5">
        <v>0.55400000000000005</v>
      </c>
      <c r="M55" s="5">
        <v>0.52900000000000003</v>
      </c>
      <c r="N55" s="5">
        <v>0.5</v>
      </c>
      <c r="O55" s="5">
        <v>0.54900000000000004</v>
      </c>
      <c r="P55" s="6">
        <v>-2.5823529411764707</v>
      </c>
      <c r="Q55" s="6">
        <v>3.6728971962616823</v>
      </c>
      <c r="R55" s="5">
        <v>0.68400000000000005</v>
      </c>
      <c r="S55" s="5">
        <v>0.72799999999999998</v>
      </c>
      <c r="T55" s="6">
        <v>11.926608026388125</v>
      </c>
      <c r="U55" s="5">
        <v>0.33799999999999997</v>
      </c>
      <c r="V55"/>
      <c r="W55"/>
    </row>
    <row r="56" spans="1:23" x14ac:dyDescent="0.2">
      <c r="A56">
        <v>66</v>
      </c>
      <c r="B56" t="s">
        <v>170</v>
      </c>
      <c r="C56" t="s">
        <v>398</v>
      </c>
      <c r="D56" s="5">
        <v>0.70399999999999996</v>
      </c>
      <c r="E56" s="5">
        <v>0.36399999999999999</v>
      </c>
      <c r="F56" s="6">
        <v>7.3207547169811322</v>
      </c>
      <c r="G56" s="6">
        <v>-4.5999999999999996</v>
      </c>
      <c r="H56">
        <v>103.8</v>
      </c>
      <c r="I56">
        <v>96.7</v>
      </c>
      <c r="J56">
        <v>93.2</v>
      </c>
      <c r="K56">
        <v>103.3</v>
      </c>
      <c r="L56" s="5">
        <v>0.54400000000000004</v>
      </c>
      <c r="M56" s="5">
        <v>0.51900000000000002</v>
      </c>
      <c r="N56" s="5">
        <v>0.49099999999999999</v>
      </c>
      <c r="O56" s="5">
        <v>0.53300000000000003</v>
      </c>
      <c r="P56" s="6">
        <v>-3.3018867924528301</v>
      </c>
      <c r="Q56" s="6">
        <v>3.5727272727272728</v>
      </c>
      <c r="R56" s="5">
        <v>0.68899999999999995</v>
      </c>
      <c r="S56" s="5">
        <v>0.73899999999999999</v>
      </c>
      <c r="T56" s="6">
        <v>11.920754716981133</v>
      </c>
      <c r="U56" s="5">
        <v>0.33999999999999997</v>
      </c>
      <c r="V56"/>
      <c r="W56"/>
    </row>
    <row r="57" spans="1:23" x14ac:dyDescent="0.2">
      <c r="A57">
        <v>33</v>
      </c>
      <c r="B57" t="s">
        <v>67</v>
      </c>
      <c r="C57" t="s">
        <v>402</v>
      </c>
      <c r="D57" s="5">
        <v>0.77400000000000002</v>
      </c>
      <c r="E57" s="5">
        <v>0.495</v>
      </c>
      <c r="F57" s="6">
        <v>11.244047619047619</v>
      </c>
      <c r="G57" s="6">
        <v>-0.66666666666666663</v>
      </c>
      <c r="H57">
        <v>110.2</v>
      </c>
      <c r="I57">
        <v>106.4</v>
      </c>
      <c r="J57">
        <v>94.7</v>
      </c>
      <c r="K57">
        <v>107.4</v>
      </c>
      <c r="L57" s="5">
        <v>0.57899999999999996</v>
      </c>
      <c r="M57" s="5">
        <v>0.56499999999999995</v>
      </c>
      <c r="N57" s="5">
        <v>0.505</v>
      </c>
      <c r="O57" s="5">
        <v>0.55600000000000005</v>
      </c>
      <c r="P57" s="6">
        <v>-0.9285714285714286</v>
      </c>
      <c r="Q57" s="6">
        <v>3.5405405405405403</v>
      </c>
      <c r="R57" s="5">
        <v>0.7</v>
      </c>
      <c r="S57" s="5">
        <v>0.72799999999999998</v>
      </c>
      <c r="T57" s="6">
        <v>11.910714285714285</v>
      </c>
      <c r="U57" s="5">
        <v>0.27900000000000003</v>
      </c>
      <c r="V57"/>
      <c r="W57"/>
    </row>
    <row r="58" spans="1:23" x14ac:dyDescent="0.2">
      <c r="A58">
        <v>58</v>
      </c>
      <c r="B58" t="s">
        <v>154</v>
      </c>
      <c r="C58" t="s">
        <v>402</v>
      </c>
      <c r="D58" s="5">
        <v>0.68500000000000005</v>
      </c>
      <c r="E58" s="5">
        <v>0.33300000000000002</v>
      </c>
      <c r="F58" s="6">
        <v>7.5535714285714288</v>
      </c>
      <c r="G58" s="6">
        <v>-4.2666666666666666</v>
      </c>
      <c r="H58">
        <v>104.3</v>
      </c>
      <c r="I58">
        <v>99.8</v>
      </c>
      <c r="J58">
        <v>94.2</v>
      </c>
      <c r="K58">
        <v>105.5</v>
      </c>
      <c r="L58" s="5">
        <v>0.53600000000000003</v>
      </c>
      <c r="M58" s="5">
        <v>0.51400000000000001</v>
      </c>
      <c r="N58" s="5">
        <v>0.51400000000000001</v>
      </c>
      <c r="O58" s="5">
        <v>0.56100000000000005</v>
      </c>
      <c r="P58" s="6">
        <v>-0.27976190476190477</v>
      </c>
      <c r="Q58" s="6">
        <v>3.7428571428571429</v>
      </c>
      <c r="R58" s="5">
        <v>0.68799999999999994</v>
      </c>
      <c r="S58" s="5">
        <v>0.72099999999999997</v>
      </c>
      <c r="T58" s="6">
        <v>11.820238095238096</v>
      </c>
      <c r="U58" s="5">
        <v>0.35200000000000004</v>
      </c>
      <c r="V58"/>
      <c r="W58"/>
    </row>
    <row r="59" spans="1:23" x14ac:dyDescent="0.2">
      <c r="A59">
        <v>77</v>
      </c>
      <c r="B59" t="s">
        <v>82</v>
      </c>
      <c r="C59" t="s">
        <v>402</v>
      </c>
      <c r="D59" s="5">
        <v>0.79600000000000004</v>
      </c>
      <c r="E59" s="5">
        <v>0.47699999999999998</v>
      </c>
      <c r="F59" s="6">
        <v>10.347305389221557</v>
      </c>
      <c r="G59" s="6">
        <v>-1.4579439252336448</v>
      </c>
      <c r="H59">
        <v>110.8</v>
      </c>
      <c r="I59">
        <v>102.5</v>
      </c>
      <c r="J59">
        <v>96.4</v>
      </c>
      <c r="K59">
        <v>104.6</v>
      </c>
      <c r="L59" s="5">
        <v>0.57199999999999995</v>
      </c>
      <c r="M59" s="5">
        <v>0.53900000000000003</v>
      </c>
      <c r="N59" s="5">
        <v>0.51100000000000001</v>
      </c>
      <c r="O59" s="5">
        <v>0.54500000000000004</v>
      </c>
      <c r="P59" s="6">
        <v>-3.8862275449101795</v>
      </c>
      <c r="Q59" s="6">
        <v>3.6728971962616823</v>
      </c>
      <c r="R59" s="5">
        <v>0.71199999999999997</v>
      </c>
      <c r="S59" s="5">
        <v>0.73</v>
      </c>
      <c r="T59" s="6">
        <v>11.805249314455201</v>
      </c>
      <c r="U59" s="5">
        <v>0.31900000000000006</v>
      </c>
      <c r="V59"/>
      <c r="W59"/>
    </row>
    <row r="60" spans="1:23" x14ac:dyDescent="0.2">
      <c r="A60">
        <v>76</v>
      </c>
      <c r="B60" t="s">
        <v>78</v>
      </c>
      <c r="C60" t="s">
        <v>399</v>
      </c>
      <c r="D60" s="5">
        <v>0.76400000000000001</v>
      </c>
      <c r="E60" s="5">
        <v>0.496</v>
      </c>
      <c r="F60" s="6">
        <v>10.527272727272727</v>
      </c>
      <c r="G60" s="6">
        <v>-1.1858407079646018</v>
      </c>
      <c r="H60">
        <v>110.2</v>
      </c>
      <c r="I60">
        <v>101</v>
      </c>
      <c r="J60">
        <v>94.5</v>
      </c>
      <c r="K60">
        <v>102.7</v>
      </c>
      <c r="L60" s="5">
        <v>0.56000000000000005</v>
      </c>
      <c r="M60" s="5">
        <v>0.52</v>
      </c>
      <c r="N60" s="5">
        <v>0.50900000000000001</v>
      </c>
      <c r="O60" s="5">
        <v>0.53200000000000003</v>
      </c>
      <c r="P60" s="6">
        <v>-3.6787878787878787</v>
      </c>
      <c r="Q60" s="6">
        <v>3.4778761061946901</v>
      </c>
      <c r="R60" s="5">
        <v>0.70099999999999996</v>
      </c>
      <c r="S60" s="5">
        <v>0.71099999999999997</v>
      </c>
      <c r="T60" s="6">
        <v>11.713113435237329</v>
      </c>
      <c r="U60" s="5">
        <v>0.26800000000000002</v>
      </c>
      <c r="V60"/>
      <c r="W60"/>
    </row>
    <row r="61" spans="1:23" x14ac:dyDescent="0.2">
      <c r="A61">
        <v>18</v>
      </c>
      <c r="B61" t="s">
        <v>47</v>
      </c>
      <c r="C61" t="s">
        <v>401</v>
      </c>
      <c r="D61" s="5">
        <v>0.75900000000000001</v>
      </c>
      <c r="E61" s="5">
        <v>0.46200000000000002</v>
      </c>
      <c r="F61" s="6">
        <v>11.958620689655172</v>
      </c>
      <c r="G61" s="6">
        <v>0.28301886792452829</v>
      </c>
      <c r="H61">
        <v>110.6</v>
      </c>
      <c r="I61">
        <v>102.3</v>
      </c>
      <c r="J61">
        <v>93.7</v>
      </c>
      <c r="K61">
        <v>101.9</v>
      </c>
      <c r="L61" s="5">
        <v>0.56100000000000005</v>
      </c>
      <c r="M61" s="5">
        <v>0.52700000000000002</v>
      </c>
      <c r="N61" s="5">
        <v>0.497</v>
      </c>
      <c r="O61" s="5">
        <v>0.52500000000000002</v>
      </c>
      <c r="P61" s="6">
        <v>-2.2620689655172415</v>
      </c>
      <c r="Q61" s="6">
        <v>3.7075471698113209</v>
      </c>
      <c r="R61" s="5">
        <v>0.70299999999999996</v>
      </c>
      <c r="S61" s="5">
        <v>0.71699999999999997</v>
      </c>
      <c r="T61" s="6">
        <v>11.675601821730643</v>
      </c>
      <c r="U61" s="5">
        <v>0.29699999999999999</v>
      </c>
      <c r="V61"/>
      <c r="W61"/>
    </row>
    <row r="62" spans="1:23" x14ac:dyDescent="0.2">
      <c r="A62">
        <v>56</v>
      </c>
      <c r="B62" t="s">
        <v>190</v>
      </c>
      <c r="C62" t="s">
        <v>401</v>
      </c>
      <c r="D62" s="5">
        <v>0.68600000000000005</v>
      </c>
      <c r="E62" s="5">
        <v>0.39600000000000002</v>
      </c>
      <c r="F62" s="6">
        <v>6.3647798742138368</v>
      </c>
      <c r="G62" s="6">
        <v>-5.2342342342342345</v>
      </c>
      <c r="H62">
        <v>102.9</v>
      </c>
      <c r="I62">
        <v>96.6</v>
      </c>
      <c r="J62">
        <v>94.1</v>
      </c>
      <c r="K62">
        <v>104</v>
      </c>
      <c r="L62" s="5">
        <v>0.51800000000000002</v>
      </c>
      <c r="M62" s="5">
        <v>0.51100000000000001</v>
      </c>
      <c r="N62" s="5">
        <v>0.50700000000000001</v>
      </c>
      <c r="O62" s="5">
        <v>0.55300000000000005</v>
      </c>
      <c r="P62" s="6">
        <v>-2.2264150943396226</v>
      </c>
      <c r="Q62" s="6">
        <v>3.5405405405405403</v>
      </c>
      <c r="R62" s="5">
        <v>0.70199999999999996</v>
      </c>
      <c r="S62" s="5">
        <v>0.73299999999999998</v>
      </c>
      <c r="T62" s="6">
        <v>11.59901410844807</v>
      </c>
      <c r="U62" s="5">
        <v>0.29000000000000004</v>
      </c>
      <c r="V62"/>
      <c r="W62"/>
    </row>
    <row r="63" spans="1:23" x14ac:dyDescent="0.2">
      <c r="A63">
        <v>51</v>
      </c>
      <c r="B63" t="s">
        <v>210</v>
      </c>
      <c r="C63" t="s">
        <v>400</v>
      </c>
      <c r="D63" s="5">
        <v>0.63200000000000001</v>
      </c>
      <c r="E63" s="5">
        <v>0.28299999999999997</v>
      </c>
      <c r="F63" s="6">
        <v>5.6781609195402298</v>
      </c>
      <c r="G63" s="6">
        <v>-5.9150943396226419</v>
      </c>
      <c r="H63">
        <v>107</v>
      </c>
      <c r="I63">
        <v>98.2</v>
      </c>
      <c r="J63">
        <v>98.7</v>
      </c>
      <c r="K63">
        <v>107</v>
      </c>
      <c r="L63" s="5">
        <v>0.54900000000000004</v>
      </c>
      <c r="M63" s="5">
        <v>0.51400000000000001</v>
      </c>
      <c r="N63" s="5">
        <v>0.51500000000000001</v>
      </c>
      <c r="O63" s="5">
        <v>0.55900000000000005</v>
      </c>
      <c r="P63" s="6">
        <v>-2.9022988505747125</v>
      </c>
      <c r="Q63" s="6">
        <v>3.7075471698113209</v>
      </c>
      <c r="R63" s="5">
        <v>0.70499999999999996</v>
      </c>
      <c r="S63" s="5">
        <v>0.71899999999999997</v>
      </c>
      <c r="T63" s="6">
        <v>11.593255259162872</v>
      </c>
      <c r="U63" s="5">
        <v>0.34900000000000003</v>
      </c>
      <c r="V63"/>
      <c r="W63"/>
    </row>
    <row r="64" spans="1:23" x14ac:dyDescent="0.2">
      <c r="A64">
        <v>29</v>
      </c>
      <c r="B64" t="s">
        <v>176</v>
      </c>
      <c r="C64" t="s">
        <v>398</v>
      </c>
      <c r="D64" s="5">
        <v>0.69299999999999995</v>
      </c>
      <c r="E64" s="5">
        <v>0.33600000000000002</v>
      </c>
      <c r="F64" s="6">
        <v>6.7228915662650603</v>
      </c>
      <c r="G64" s="6">
        <v>-4.790909090909091</v>
      </c>
      <c r="H64">
        <v>103.2</v>
      </c>
      <c r="I64">
        <v>97.4</v>
      </c>
      <c r="J64">
        <v>93.5</v>
      </c>
      <c r="K64">
        <v>104.4</v>
      </c>
      <c r="L64" s="5">
        <v>0.54400000000000004</v>
      </c>
      <c r="M64" s="5">
        <v>0.51800000000000002</v>
      </c>
      <c r="N64" s="5">
        <v>0.50600000000000001</v>
      </c>
      <c r="O64" s="5">
        <v>0.55400000000000005</v>
      </c>
      <c r="P64" s="6">
        <v>-1.9036144578313252</v>
      </c>
      <c r="Q64" s="6">
        <v>3.5727272727272728</v>
      </c>
      <c r="R64" s="5">
        <v>0.69799999999999995</v>
      </c>
      <c r="S64" s="5">
        <v>0.72</v>
      </c>
      <c r="T64" s="6">
        <v>11.513800657174151</v>
      </c>
      <c r="U64" s="5">
        <v>0.35699999999999993</v>
      </c>
      <c r="V64"/>
      <c r="W64"/>
    </row>
    <row r="65" spans="1:23" x14ac:dyDescent="0.2">
      <c r="A65">
        <v>45</v>
      </c>
      <c r="B65" t="s">
        <v>140</v>
      </c>
      <c r="C65" t="s">
        <v>400</v>
      </c>
      <c r="D65" s="5">
        <v>0.70899999999999996</v>
      </c>
      <c r="E65" s="5">
        <v>0.32700000000000001</v>
      </c>
      <c r="F65" s="6">
        <v>7.872727272727273</v>
      </c>
      <c r="G65" s="6">
        <v>-3.5363636363636362</v>
      </c>
      <c r="H65">
        <v>110.3</v>
      </c>
      <c r="I65">
        <v>102.3</v>
      </c>
      <c r="J65">
        <v>98.7</v>
      </c>
      <c r="K65">
        <v>107.6</v>
      </c>
      <c r="L65" s="5">
        <v>0.56100000000000005</v>
      </c>
      <c r="M65" s="5">
        <v>0.53500000000000003</v>
      </c>
      <c r="N65" s="5">
        <v>0.50800000000000001</v>
      </c>
      <c r="O65" s="5">
        <v>0.53800000000000003</v>
      </c>
      <c r="P65" s="6">
        <v>-2.6909090909090909</v>
      </c>
      <c r="Q65" s="6">
        <v>3.5727272727272728</v>
      </c>
      <c r="R65" s="5">
        <v>0.71599999999999997</v>
      </c>
      <c r="S65" s="5">
        <v>0.73399999999999999</v>
      </c>
      <c r="T65" s="6">
        <v>11.40909090909091</v>
      </c>
      <c r="U65" s="5">
        <v>0.38199999999999995</v>
      </c>
      <c r="V65"/>
      <c r="W65"/>
    </row>
    <row r="66" spans="1:23" x14ac:dyDescent="0.2">
      <c r="A66">
        <v>3</v>
      </c>
      <c r="B66" t="s">
        <v>188</v>
      </c>
      <c r="C66" t="s">
        <v>398</v>
      </c>
      <c r="D66" s="5">
        <v>0.64900000000000002</v>
      </c>
      <c r="E66" s="5">
        <v>0.39400000000000002</v>
      </c>
      <c r="F66" s="6">
        <v>6.0714285714285712</v>
      </c>
      <c r="G66" s="6">
        <v>-5.330275229357798</v>
      </c>
      <c r="H66">
        <v>104</v>
      </c>
      <c r="I66">
        <v>98.5</v>
      </c>
      <c r="J66">
        <v>95.8</v>
      </c>
      <c r="K66">
        <v>105.9</v>
      </c>
      <c r="L66" s="5">
        <v>0.54100000000000004</v>
      </c>
      <c r="M66" s="5">
        <v>0.51700000000000002</v>
      </c>
      <c r="N66" s="5">
        <v>0.51400000000000001</v>
      </c>
      <c r="O66" s="5">
        <v>0.56299999999999994</v>
      </c>
      <c r="P66" s="6">
        <v>-2.0259740259740258</v>
      </c>
      <c r="Q66" s="6">
        <v>3.6055045871559632</v>
      </c>
      <c r="R66" s="5">
        <v>0.71099999999999997</v>
      </c>
      <c r="S66" s="5">
        <v>0.72</v>
      </c>
      <c r="T66" s="6">
        <v>11.401703800786368</v>
      </c>
      <c r="U66" s="5">
        <v>0.255</v>
      </c>
      <c r="V66"/>
      <c r="W66"/>
    </row>
    <row r="67" spans="1:23" x14ac:dyDescent="0.2">
      <c r="A67">
        <v>43</v>
      </c>
      <c r="B67" t="s">
        <v>23</v>
      </c>
      <c r="C67" t="s">
        <v>400</v>
      </c>
      <c r="D67" s="5">
        <v>0.84099999999999997</v>
      </c>
      <c r="E67" s="5">
        <v>0.55000000000000004</v>
      </c>
      <c r="F67" s="6">
        <v>13.476821192052981</v>
      </c>
      <c r="G67" s="6">
        <v>2.3873873873873874</v>
      </c>
      <c r="H67">
        <v>113.5</v>
      </c>
      <c r="I67">
        <v>104.5</v>
      </c>
      <c r="J67">
        <v>95.2</v>
      </c>
      <c r="K67">
        <v>101.2</v>
      </c>
      <c r="L67" s="5">
        <v>0.56100000000000005</v>
      </c>
      <c r="M67" s="5">
        <v>0.52900000000000003</v>
      </c>
      <c r="N67" s="5">
        <v>0.51100000000000001</v>
      </c>
      <c r="O67" s="5">
        <v>0.52500000000000002</v>
      </c>
      <c r="P67" s="6">
        <v>-3.2582781456953644</v>
      </c>
      <c r="Q67" s="6">
        <v>3.5405405405405403</v>
      </c>
      <c r="R67" s="5">
        <v>0.71499999999999997</v>
      </c>
      <c r="S67" s="5">
        <v>0.72899999999999998</v>
      </c>
      <c r="T67" s="6">
        <v>11.089433804665592</v>
      </c>
      <c r="U67" s="5">
        <v>0.29099999999999993</v>
      </c>
      <c r="V67"/>
      <c r="W67"/>
    </row>
    <row r="68" spans="1:23" x14ac:dyDescent="0.2">
      <c r="A68">
        <v>71</v>
      </c>
      <c r="B68" t="s">
        <v>35</v>
      </c>
      <c r="C68" t="s">
        <v>400</v>
      </c>
      <c r="D68" s="5">
        <v>0.83499999999999996</v>
      </c>
      <c r="E68" s="5">
        <v>0.6</v>
      </c>
      <c r="F68" s="6">
        <v>12.556962025316455</v>
      </c>
      <c r="G68" s="6">
        <v>1.4727272727272727</v>
      </c>
      <c r="H68">
        <v>108.6</v>
      </c>
      <c r="I68">
        <v>103.5</v>
      </c>
      <c r="J68">
        <v>88.3</v>
      </c>
      <c r="K68">
        <v>101.1</v>
      </c>
      <c r="L68" s="5">
        <v>0.55800000000000005</v>
      </c>
      <c r="M68" s="5">
        <v>0.54</v>
      </c>
      <c r="N68" s="5">
        <v>0.47599999999999998</v>
      </c>
      <c r="O68" s="5">
        <v>0.53300000000000003</v>
      </c>
      <c r="P68" s="6">
        <v>-1.9936708860759493</v>
      </c>
      <c r="Q68" s="6">
        <v>3.5727272727272728</v>
      </c>
      <c r="R68" s="5">
        <v>0.70499999999999996</v>
      </c>
      <c r="S68" s="5">
        <v>0.72699999999999998</v>
      </c>
      <c r="T68" s="6">
        <v>11.084234752589182</v>
      </c>
      <c r="U68" s="5">
        <v>0.23499999999999999</v>
      </c>
      <c r="V68"/>
      <c r="W68"/>
    </row>
    <row r="69" spans="1:23" x14ac:dyDescent="0.2">
      <c r="A69">
        <v>22</v>
      </c>
      <c r="B69" t="s">
        <v>365</v>
      </c>
      <c r="C69" t="s">
        <v>400</v>
      </c>
      <c r="D69" s="5">
        <v>0.65300000000000002</v>
      </c>
      <c r="E69" s="5">
        <v>0.27800000000000002</v>
      </c>
      <c r="F69" s="6">
        <v>4.6300578034682083</v>
      </c>
      <c r="G69" s="6">
        <v>-6.321739130434783</v>
      </c>
      <c r="H69">
        <v>101.4</v>
      </c>
      <c r="I69">
        <v>97.2</v>
      </c>
      <c r="J69">
        <v>94.9</v>
      </c>
      <c r="K69">
        <v>106.4</v>
      </c>
      <c r="L69" s="5">
        <v>0.53300000000000003</v>
      </c>
      <c r="M69" s="5">
        <v>0.51700000000000002</v>
      </c>
      <c r="N69" s="5">
        <v>0.497</v>
      </c>
      <c r="O69" s="5">
        <v>0.54500000000000004</v>
      </c>
      <c r="P69" s="6">
        <v>-1.277456647398844</v>
      </c>
      <c r="Q69" s="6">
        <v>3.4173913043478259</v>
      </c>
      <c r="R69" s="5">
        <v>0.67900000000000005</v>
      </c>
      <c r="S69" s="5">
        <v>0.753</v>
      </c>
      <c r="T69" s="6">
        <v>10.95179693390299</v>
      </c>
      <c r="U69" s="5">
        <v>0.375</v>
      </c>
      <c r="V69"/>
      <c r="W69"/>
    </row>
    <row r="70" spans="1:23" x14ac:dyDescent="0.2">
      <c r="A70">
        <v>48</v>
      </c>
      <c r="B70" t="s">
        <v>184</v>
      </c>
      <c r="C70" t="s">
        <v>398</v>
      </c>
      <c r="D70" s="5">
        <v>0.64800000000000002</v>
      </c>
      <c r="E70" s="5">
        <v>0.32100000000000001</v>
      </c>
      <c r="F70" s="6">
        <v>5.8742138364779874</v>
      </c>
      <c r="G70" s="6">
        <v>-5.0089285714285712</v>
      </c>
      <c r="H70">
        <v>104.7</v>
      </c>
      <c r="I70">
        <v>97.9</v>
      </c>
      <c r="J70">
        <v>96.5</v>
      </c>
      <c r="K70">
        <v>105.1</v>
      </c>
      <c r="L70" s="5">
        <v>0.55100000000000005</v>
      </c>
      <c r="M70" s="5">
        <v>0.52400000000000002</v>
      </c>
      <c r="N70" s="5">
        <v>0.51800000000000002</v>
      </c>
      <c r="O70" s="5">
        <v>0.54600000000000004</v>
      </c>
      <c r="P70" s="6">
        <v>-1.9056603773584906</v>
      </c>
      <c r="Q70" s="6">
        <v>3.5089285714285716</v>
      </c>
      <c r="R70" s="5">
        <v>0.72199999999999998</v>
      </c>
      <c r="S70" s="5">
        <v>0.72299999999999998</v>
      </c>
      <c r="T70" s="6">
        <v>10.883142407906558</v>
      </c>
      <c r="U70" s="5">
        <v>0.32700000000000001</v>
      </c>
      <c r="V70"/>
      <c r="W70"/>
    </row>
    <row r="71" spans="1:23" x14ac:dyDescent="0.2">
      <c r="A71">
        <v>35</v>
      </c>
      <c r="B71" t="s">
        <v>135</v>
      </c>
      <c r="C71" t="s">
        <v>400</v>
      </c>
      <c r="D71" s="5">
        <v>0.70699999999999996</v>
      </c>
      <c r="E71" s="5">
        <v>0.38900000000000001</v>
      </c>
      <c r="F71" s="6">
        <v>7.3375796178343951</v>
      </c>
      <c r="G71" s="6">
        <v>-3.4814814814814814</v>
      </c>
      <c r="H71">
        <v>108.9</v>
      </c>
      <c r="I71">
        <v>101.9</v>
      </c>
      <c r="J71">
        <v>98.4</v>
      </c>
      <c r="K71">
        <v>106.9</v>
      </c>
      <c r="L71" s="5">
        <v>0.56499999999999995</v>
      </c>
      <c r="M71" s="5">
        <v>0.53400000000000003</v>
      </c>
      <c r="N71" s="5">
        <v>0.51900000000000002</v>
      </c>
      <c r="O71" s="5">
        <v>0.55700000000000005</v>
      </c>
      <c r="P71" s="6">
        <v>-2.8980891719745223</v>
      </c>
      <c r="Q71" s="6">
        <v>3.6388888888888888</v>
      </c>
      <c r="R71" s="5">
        <v>0.70699999999999996</v>
      </c>
      <c r="S71" s="5">
        <v>0.72599999999999998</v>
      </c>
      <c r="T71" s="6">
        <v>10.819061099315876</v>
      </c>
      <c r="U71" s="5">
        <v>0.31799999999999995</v>
      </c>
      <c r="V71"/>
      <c r="W71"/>
    </row>
    <row r="72" spans="1:23" x14ac:dyDescent="0.2">
      <c r="A72">
        <v>64</v>
      </c>
      <c r="B72" t="s">
        <v>84</v>
      </c>
      <c r="C72" t="s">
        <v>401</v>
      </c>
      <c r="D72" s="5">
        <v>0.747</v>
      </c>
      <c r="E72" s="5">
        <v>0.45500000000000002</v>
      </c>
      <c r="F72" s="6">
        <v>9.0126582278481013</v>
      </c>
      <c r="G72" s="6">
        <v>-1.7474747474747474</v>
      </c>
      <c r="H72">
        <v>106.2</v>
      </c>
      <c r="I72">
        <v>100.5</v>
      </c>
      <c r="J72">
        <v>93.2</v>
      </c>
      <c r="K72">
        <v>103.1</v>
      </c>
      <c r="L72" s="5">
        <v>0.53300000000000003</v>
      </c>
      <c r="M72" s="5">
        <v>0.51900000000000002</v>
      </c>
      <c r="N72" s="5">
        <v>0.497</v>
      </c>
      <c r="O72" s="5">
        <v>0.53900000000000003</v>
      </c>
      <c r="P72" s="6">
        <v>-3.5506329113924049</v>
      </c>
      <c r="Q72" s="6">
        <v>3.9696969696969697</v>
      </c>
      <c r="R72" s="5">
        <v>0.68300000000000005</v>
      </c>
      <c r="S72" s="5">
        <v>0.73399999999999999</v>
      </c>
      <c r="T72" s="6">
        <v>10.760132975322849</v>
      </c>
      <c r="U72" s="5">
        <v>0.29199999999999998</v>
      </c>
      <c r="V72"/>
      <c r="W72"/>
    </row>
    <row r="73" spans="1:23" x14ac:dyDescent="0.2">
      <c r="A73">
        <v>7</v>
      </c>
      <c r="B73" t="s">
        <v>303</v>
      </c>
      <c r="C73" t="s">
        <v>400</v>
      </c>
      <c r="D73" s="5">
        <v>0.53400000000000003</v>
      </c>
      <c r="E73" s="5">
        <v>0.19</v>
      </c>
      <c r="F73" s="6">
        <v>0.7639751552795031</v>
      </c>
      <c r="G73" s="6">
        <v>-9.8571428571428577</v>
      </c>
      <c r="H73">
        <v>101.6</v>
      </c>
      <c r="I73">
        <v>95.4</v>
      </c>
      <c r="J73">
        <v>100.6</v>
      </c>
      <c r="K73">
        <v>109.5</v>
      </c>
      <c r="L73" s="5">
        <v>0.53200000000000003</v>
      </c>
      <c r="M73" s="5">
        <v>0.51200000000000001</v>
      </c>
      <c r="N73" s="5">
        <v>0.53200000000000003</v>
      </c>
      <c r="O73" s="5">
        <v>0.57299999999999995</v>
      </c>
      <c r="P73" s="6">
        <v>-0.80745341614906829</v>
      </c>
      <c r="Q73" s="6">
        <v>3.7428571428571429</v>
      </c>
      <c r="R73" s="5">
        <v>0.72499999999999998</v>
      </c>
      <c r="S73" s="5">
        <v>0.74199999999999999</v>
      </c>
      <c r="T73" s="6">
        <v>10.621118012422361</v>
      </c>
      <c r="U73" s="5">
        <v>0.34400000000000003</v>
      </c>
      <c r="V73"/>
      <c r="W73"/>
    </row>
    <row r="74" spans="1:23" x14ac:dyDescent="0.2">
      <c r="A74">
        <v>55</v>
      </c>
      <c r="B74" t="s">
        <v>109</v>
      </c>
      <c r="C74" t="s">
        <v>402</v>
      </c>
      <c r="D74" s="5">
        <v>0.71899999999999997</v>
      </c>
      <c r="E74" s="5">
        <v>0.442</v>
      </c>
      <c r="F74" s="6">
        <v>7.9607843137254903</v>
      </c>
      <c r="G74" s="6">
        <v>-2.584070796460177</v>
      </c>
      <c r="H74">
        <v>105.7</v>
      </c>
      <c r="I74">
        <v>100</v>
      </c>
      <c r="J74">
        <v>94.4</v>
      </c>
      <c r="K74">
        <v>103.7</v>
      </c>
      <c r="L74" s="5">
        <v>0.54200000000000004</v>
      </c>
      <c r="M74" s="5">
        <v>0.52200000000000002</v>
      </c>
      <c r="N74" s="5">
        <v>0.503</v>
      </c>
      <c r="O74" s="5">
        <v>0.54200000000000004</v>
      </c>
      <c r="P74" s="6">
        <v>-2.6274509803921569</v>
      </c>
      <c r="Q74" s="6">
        <v>3.4778761061946901</v>
      </c>
      <c r="R74" s="5">
        <v>0.72599999999999998</v>
      </c>
      <c r="S74" s="5">
        <v>0.73099999999999998</v>
      </c>
      <c r="T74" s="6">
        <v>10.544855110185667</v>
      </c>
      <c r="U74" s="5">
        <v>0.27699999999999997</v>
      </c>
      <c r="V74"/>
      <c r="W74"/>
    </row>
    <row r="75" spans="1:23" x14ac:dyDescent="0.2">
      <c r="A75">
        <v>70</v>
      </c>
      <c r="B75" t="s">
        <v>19</v>
      </c>
      <c r="C75" t="s">
        <v>402</v>
      </c>
      <c r="D75" s="5">
        <v>0.85199999999999998</v>
      </c>
      <c r="E75" s="5">
        <v>0.56899999999999995</v>
      </c>
      <c r="F75" s="6">
        <v>13.612676056338028</v>
      </c>
      <c r="G75" s="6">
        <v>3.1120689655172415</v>
      </c>
      <c r="H75">
        <v>114.4</v>
      </c>
      <c r="I75">
        <v>107.3</v>
      </c>
      <c r="J75">
        <v>94.2</v>
      </c>
      <c r="K75">
        <v>102.7</v>
      </c>
      <c r="L75" s="5">
        <v>0.59099999999999997</v>
      </c>
      <c r="M75" s="5">
        <v>0.56399999999999995</v>
      </c>
      <c r="N75" s="5">
        <v>0.50600000000000001</v>
      </c>
      <c r="O75" s="5">
        <v>0.53500000000000003</v>
      </c>
      <c r="P75" s="6">
        <v>-2.612676056338028</v>
      </c>
      <c r="Q75" s="6">
        <v>3.3879310344827585</v>
      </c>
      <c r="R75" s="5">
        <v>0.70199999999999996</v>
      </c>
      <c r="S75" s="5">
        <v>0.73699999999999999</v>
      </c>
      <c r="T75" s="6">
        <v>10.500607090820786</v>
      </c>
      <c r="U75" s="5">
        <v>0.28300000000000003</v>
      </c>
      <c r="V75"/>
      <c r="W75"/>
    </row>
    <row r="76" spans="1:23" x14ac:dyDescent="0.2">
      <c r="A76">
        <v>52</v>
      </c>
      <c r="B76" t="s">
        <v>97</v>
      </c>
      <c r="C76" t="s">
        <v>402</v>
      </c>
      <c r="D76" s="5">
        <v>0.78</v>
      </c>
      <c r="E76" s="5">
        <v>0.44</v>
      </c>
      <c r="F76" s="6">
        <v>8.3109756097560972</v>
      </c>
      <c r="G76" s="6">
        <v>-2.1467889908256881</v>
      </c>
      <c r="H76">
        <v>107</v>
      </c>
      <c r="I76">
        <v>99.5</v>
      </c>
      <c r="J76">
        <v>95.2</v>
      </c>
      <c r="K76">
        <v>102.6</v>
      </c>
      <c r="L76" s="5">
        <v>0.55300000000000005</v>
      </c>
      <c r="M76" s="5">
        <v>0.51900000000000002</v>
      </c>
      <c r="N76" s="5">
        <v>0.50900000000000001</v>
      </c>
      <c r="O76" s="5">
        <v>0.53300000000000003</v>
      </c>
      <c r="P76" s="6">
        <v>-3.3292682926829267</v>
      </c>
      <c r="Q76" s="6">
        <v>3.6055045871559632</v>
      </c>
      <c r="R76" s="5">
        <v>0.70499999999999996</v>
      </c>
      <c r="S76" s="5">
        <v>0.72799999999999998</v>
      </c>
      <c r="T76" s="6">
        <v>10.457764600581786</v>
      </c>
      <c r="U76" s="5">
        <v>0.34</v>
      </c>
      <c r="V76"/>
      <c r="W76"/>
    </row>
    <row r="77" spans="1:23" x14ac:dyDescent="0.2">
      <c r="A77">
        <v>16</v>
      </c>
      <c r="B77" t="s">
        <v>284</v>
      </c>
      <c r="C77" t="s">
        <v>402</v>
      </c>
      <c r="D77" s="5">
        <v>0.46300000000000002</v>
      </c>
      <c r="E77" s="5">
        <v>0.219</v>
      </c>
      <c r="F77" s="6">
        <v>0.26829268292682928</v>
      </c>
      <c r="G77" s="6">
        <v>-10.140350877192983</v>
      </c>
      <c r="H77">
        <v>102.5</v>
      </c>
      <c r="I77">
        <v>94.4</v>
      </c>
      <c r="J77">
        <v>102.1</v>
      </c>
      <c r="K77">
        <v>108.7</v>
      </c>
      <c r="L77" s="5">
        <v>0.54</v>
      </c>
      <c r="M77" s="5">
        <v>0.51</v>
      </c>
      <c r="N77" s="5">
        <v>0.54</v>
      </c>
      <c r="O77" s="5">
        <v>0.56599999999999995</v>
      </c>
      <c r="P77" s="6">
        <v>-0.68292682926829273</v>
      </c>
      <c r="Q77" s="6">
        <v>3.4473684210526314</v>
      </c>
      <c r="R77" s="5">
        <v>0.73699999999999999</v>
      </c>
      <c r="S77" s="5">
        <v>0.73499999999999999</v>
      </c>
      <c r="T77" s="6">
        <v>10.408643560119812</v>
      </c>
      <c r="U77" s="5">
        <v>0.24400000000000002</v>
      </c>
      <c r="V77"/>
      <c r="W77"/>
    </row>
    <row r="78" spans="1:23" x14ac:dyDescent="0.2">
      <c r="A78">
        <v>20</v>
      </c>
      <c r="B78" t="s">
        <v>361</v>
      </c>
      <c r="C78" t="s">
        <v>402</v>
      </c>
      <c r="D78" s="5">
        <v>0.52300000000000002</v>
      </c>
      <c r="E78" s="5">
        <v>0.25700000000000001</v>
      </c>
      <c r="F78" s="6">
        <v>2.8793103448275863</v>
      </c>
      <c r="G78" s="6">
        <v>-6.8256880733944953</v>
      </c>
      <c r="H78">
        <v>104.2</v>
      </c>
      <c r="I78">
        <v>100.7</v>
      </c>
      <c r="J78">
        <v>100.2</v>
      </c>
      <c r="K78">
        <v>110.2</v>
      </c>
      <c r="L78" s="5">
        <v>0.54100000000000004</v>
      </c>
      <c r="M78" s="5">
        <v>0.53200000000000003</v>
      </c>
      <c r="N78" s="5">
        <v>0.52600000000000002</v>
      </c>
      <c r="O78" s="5">
        <v>0.56799999999999995</v>
      </c>
      <c r="P78" s="6">
        <v>-1.9712643678160919</v>
      </c>
      <c r="Q78" s="6">
        <v>3.6055045871559632</v>
      </c>
      <c r="R78" s="5">
        <v>0.70599999999999996</v>
      </c>
      <c r="S78" s="5">
        <v>0.749</v>
      </c>
      <c r="T78" s="6">
        <v>9.7049984182220825</v>
      </c>
      <c r="U78" s="5">
        <v>0.26600000000000001</v>
      </c>
      <c r="V78"/>
      <c r="W7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10-year Data</vt:lpstr>
      <vt:lpstr>10-year AWAY Data</vt:lpstr>
      <vt:lpstr>Flourish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Arjun Dev Khatti</cp:lastModifiedBy>
  <dcterms:created xsi:type="dcterms:W3CDTF">2026-02-14T01:08:47Z</dcterms:created>
  <dcterms:modified xsi:type="dcterms:W3CDTF">2026-03-02T05:35:56Z</dcterms:modified>
</cp:coreProperties>
</file>